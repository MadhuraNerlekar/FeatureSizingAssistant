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ncubxpertstechno-my.sharepoint.com/personal/madhurap_incubxperts_com/Documents/Documents/IX/My own AI project/Feature sizing assistant/"/>
    </mc:Choice>
  </mc:AlternateContent>
  <xr:revisionPtr revIDLastSave="8" documentId="11_C39F2C5A2C32D77D76A38557E86CF1CED1A20570" xr6:coauthVersionLast="47" xr6:coauthVersionMax="47" xr10:uidLastSave="{B2CA8823-A54E-46ED-9B85-ADA974E4A763}"/>
  <bookViews>
    <workbookView xWindow="-110" yWindow="-110" windowWidth="19420" windowHeight="10300" activeTab="1" xr2:uid="{00000000-000D-0000-FFFF-FFFF00000000}"/>
  </bookViews>
  <sheets>
    <sheet name="ResourceLoading" sheetId="1" r:id="rId1"/>
    <sheet name="Data Collection &amp; Integration" sheetId="2" r:id="rId2"/>
    <sheet name="Forecasting Engine" sheetId="3" r:id="rId3"/>
    <sheet name="Replenishment Order Managemen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4" l="1"/>
  <c r="B23" i="3"/>
  <c r="B23" i="2"/>
  <c r="B10" i="1" l="1"/>
  <c r="B19" i="1" s="1"/>
  <c r="B13" i="1" l="1"/>
  <c r="B22" i="1" s="1"/>
  <c r="C19" i="1"/>
  <c r="B11" i="1"/>
  <c r="C20" i="1" s="1"/>
  <c r="B12" i="1"/>
  <c r="B14" i="1"/>
  <c r="B23" i="1" s="1"/>
  <c r="B21" i="1"/>
  <c r="C21" i="1"/>
  <c r="C22" i="1"/>
  <c r="C23" i="1" l="1"/>
  <c r="B20" i="1"/>
</calcChain>
</file>

<file path=xl/sharedStrings.xml><?xml version="1.0" encoding="utf-8"?>
<sst xmlns="http://schemas.openxmlformats.org/spreadsheetml/2006/main" count="159" uniqueCount="94">
  <si>
    <t>T-shirt Sizing to Hours</t>
  </si>
  <si>
    <t>Size</t>
  </si>
  <si>
    <t>Hours (editable)</t>
  </si>
  <si>
    <t>XS</t>
  </si>
  <si>
    <t>S</t>
  </si>
  <si>
    <t>M</t>
  </si>
  <si>
    <t>L</t>
  </si>
  <si>
    <t>XL</t>
  </si>
  <si>
    <t>Effort Allocation</t>
  </si>
  <si>
    <t>Ratio (editable)</t>
  </si>
  <si>
    <t>Dev Hours</t>
  </si>
  <si>
    <t>QA Hours</t>
  </si>
  <si>
    <t>PM Hours</t>
  </si>
  <si>
    <t>Architect Hours</t>
  </si>
  <si>
    <t>Buffer Hours</t>
  </si>
  <si>
    <t>Hours per Resource Day</t>
  </si>
  <si>
    <t>Resource Utilization</t>
  </si>
  <si>
    <t>Role</t>
  </si>
  <si>
    <t>Hours</t>
  </si>
  <si>
    <t>Resource Days</t>
  </si>
  <si>
    <t>Dev</t>
  </si>
  <si>
    <t>QA</t>
  </si>
  <si>
    <t>PM</t>
  </si>
  <si>
    <t>Architect</t>
  </si>
  <si>
    <t>Buffer</t>
  </si>
  <si>
    <t>Module Name</t>
  </si>
  <si>
    <t>Data Collection &amp; Integration</t>
  </si>
  <si>
    <t>Module Description</t>
  </si>
  <si>
    <t>Gather real-time sales and inventory data from all retail store locations.</t>
  </si>
  <si>
    <t>Number of Screens</t>
  </si>
  <si>
    <t>Requirement</t>
  </si>
  <si>
    <t>Size (XS/S/M/L/XL)</t>
  </si>
  <si>
    <t>Notes</t>
  </si>
  <si>
    <t>Connect to POS systems at each store to fetch live sales transactions</t>
  </si>
  <si>
    <t>—</t>
  </si>
  <si>
    <t>Integrate with inventory management systems for current stock levels</t>
  </si>
  <si>
    <t>Implement data normalization and cleaning processes</t>
  </si>
  <si>
    <t>Store and update sales and stock data with timestamp metadata</t>
  </si>
  <si>
    <t>Provide error reporting for failed or incomplete data ingestion</t>
  </si>
  <si>
    <t>Create real-time dashboard for monitoring data feed health</t>
  </si>
  <si>
    <t>Build API connectors for supplier system order exchanges</t>
  </si>
  <si>
    <t>Screens</t>
  </si>
  <si>
    <t>Screen Title</t>
  </si>
  <si>
    <t>Description</t>
  </si>
  <si>
    <t>Data Source Setup</t>
  </si>
  <si>
    <t>Configure and monitor data feeds from store POS and inventory systems.</t>
  </si>
  <si>
    <t>Real-time Data Dashboard</t>
  </si>
  <si>
    <t>Visualize incoming sales and inventory updates across all locations.</t>
  </si>
  <si>
    <t>Data Health Monitor</t>
  </si>
  <si>
    <t>Display data integrity, latency, and errors from connected sources.</t>
  </si>
  <si>
    <t>Integration Status</t>
  </si>
  <si>
    <t>Show connection status and error logs for external supplier and store system APIs.</t>
  </si>
  <si>
    <t>Module Summary:</t>
  </si>
  <si>
    <t>Collect and aggregate sales and stock data continuously for forecasting.</t>
  </si>
  <si>
    <t>Screens:</t>
  </si>
  <si>
    <t>Total Module Hours (calculated):</t>
  </si>
  <si>
    <t>Forecasting Engine</t>
  </si>
  <si>
    <t>Analyze historical and real-time data to predict inventory demand.</t>
  </si>
  <si>
    <t>Build algorithms to analyze sales patterns, seasonality, and promotions</t>
  </si>
  <si>
    <t>Generate demand forecasts at SKU and store level for 30, 60, 90 days</t>
  </si>
  <si>
    <t>Detect and flag unusual sales spikes and anomalies</t>
  </si>
  <si>
    <t>Provide visualization of trends and forecast outputs</t>
  </si>
  <si>
    <t>Allow configurable forecasting time windows</t>
  </si>
  <si>
    <t>Implement model retraining with updated data regularly</t>
  </si>
  <si>
    <t>Support manual override and adjustments to forecast results</t>
  </si>
  <si>
    <t>Forecast Summary</t>
  </si>
  <si>
    <t>Overview of forecasted inventory needs for 30, 60, and 90 days.</t>
  </si>
  <si>
    <t>SKU Trend Analysis</t>
  </si>
  <si>
    <t>Visualize purchase patterns, seasonal effects, and promotions impact.</t>
  </si>
  <si>
    <t>Exception Alerts</t>
  </si>
  <si>
    <t>Highlight unusual sales spikes or demand anomalies.</t>
  </si>
  <si>
    <t>Forecast Configuration</t>
  </si>
  <si>
    <t>Allow parameter adjustments for forecasting models and time horizons.</t>
  </si>
  <si>
    <t>Generate SKU-level demand forecasts for future periods using advanced analytics.</t>
  </si>
  <si>
    <t>Replenishment Order Management</t>
  </si>
  <si>
    <t>Automatically generate and manage reorder quantities and purchase orders.</t>
  </si>
  <si>
    <t>Automatically generate replenishment orders based on forecast and stock levels</t>
  </si>
  <si>
    <t>Send alerts for potential stock-outs and overstock conditions</t>
  </si>
  <si>
    <t>Enable store managers to review, approve, or modify orders</t>
  </si>
  <si>
    <t>Integrate with supplier systems for order submission and acknowledgment</t>
  </si>
  <si>
    <t>Track order dispatch and expected delivery dates</t>
  </si>
  <si>
    <t>Provide notifications for order changes and delivery status</t>
  </si>
  <si>
    <t>Maintain audit logs of order approvals and modifications</t>
  </si>
  <si>
    <t>Replenishment Dashboard</t>
  </si>
  <si>
    <t>Review suggested orders, inventory status, and alerts.</t>
  </si>
  <si>
    <t>Order Approval</t>
  </si>
  <si>
    <t>Interface for store managers to approve or adjust orders.</t>
  </si>
  <si>
    <t>Order Tracking</t>
  </si>
  <si>
    <t>Track purchase orders and delivery status from suppliers.</t>
  </si>
  <si>
    <t>Alerts &amp; Notifications</t>
  </si>
  <si>
    <t>Notify managers of stock-outs, overstocks, and spikes.</t>
  </si>
  <si>
    <t>Supplier Integration Status</t>
  </si>
  <si>
    <t>Show connectivity and acknowledgment states with suppliers.</t>
  </si>
  <si>
    <t>Create and track replenishment orders based on forecasts and current inventory.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</si>
</sst>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opLeftCell="A7" workbookViewId="0">
      <selection activeCell="B17" sqref="B17"/>
    </sheetView>
  </sheetViews>
  <sheetFormatPr defaultRowHeight="14.5" x14ac:dyDescent="0.35"/>
  <cols>
    <col min="1" max="1" width="25" customWidth="1"/>
    <col min="2" max="2" width="60" customWidth="1"/>
    <col min="3" max="3" width="18" customWidth="1"/>
  </cols>
  <sheetData>
    <row r="1" spans="1:3" x14ac:dyDescent="0.35">
      <c r="A1" s="1" t="s">
        <v>0</v>
      </c>
    </row>
    <row r="2" spans="1:3" x14ac:dyDescent="0.35">
      <c r="A2" s="1" t="s">
        <v>1</v>
      </c>
      <c r="B2" s="1" t="s">
        <v>2</v>
      </c>
    </row>
    <row r="3" spans="1:3" x14ac:dyDescent="0.35">
      <c r="A3" t="s">
        <v>3</v>
      </c>
      <c r="B3">
        <v>2</v>
      </c>
    </row>
    <row r="4" spans="1:3" x14ac:dyDescent="0.35">
      <c r="A4" t="s">
        <v>4</v>
      </c>
      <c r="B4">
        <v>4</v>
      </c>
    </row>
    <row r="5" spans="1:3" x14ac:dyDescent="0.35">
      <c r="A5" t="s">
        <v>5</v>
      </c>
      <c r="B5">
        <v>8</v>
      </c>
    </row>
    <row r="6" spans="1:3" x14ac:dyDescent="0.35">
      <c r="A6" t="s">
        <v>6</v>
      </c>
      <c r="B6">
        <v>16</v>
      </c>
    </row>
    <row r="7" spans="1:3" x14ac:dyDescent="0.35">
      <c r="A7" t="s">
        <v>7</v>
      </c>
      <c r="B7">
        <v>24</v>
      </c>
    </row>
    <row r="9" spans="1:3" x14ac:dyDescent="0.35">
      <c r="A9" s="1" t="s">
        <v>8</v>
      </c>
      <c r="C9" s="1" t="s">
        <v>9</v>
      </c>
    </row>
    <row r="10" spans="1:3" x14ac:dyDescent="0.35">
      <c r="A10" s="1" t="s">
        <v>10</v>
      </c>
      <c r="B10">
        <f>SUM('Data Collection &amp; Integration'!B23,'Forecasting Engine'!B23,'Replenishment Order Management'!B24)</f>
        <v>224</v>
      </c>
    </row>
    <row r="11" spans="1:3" x14ac:dyDescent="0.35">
      <c r="A11" s="1" t="s">
        <v>11</v>
      </c>
      <c r="B11">
        <f>$B$10*$C11</f>
        <v>89.600000000000009</v>
      </c>
      <c r="C11">
        <v>0.4</v>
      </c>
    </row>
    <row r="12" spans="1:3" x14ac:dyDescent="0.35">
      <c r="A12" s="1" t="s">
        <v>12</v>
      </c>
      <c r="B12">
        <f>$B$10*$C12</f>
        <v>33.6</v>
      </c>
      <c r="C12">
        <v>0.15</v>
      </c>
    </row>
    <row r="13" spans="1:3" x14ac:dyDescent="0.35">
      <c r="A13" s="1" t="s">
        <v>13</v>
      </c>
      <c r="B13">
        <f>$B$10*$C13</f>
        <v>22.400000000000002</v>
      </c>
      <c r="C13">
        <v>0.1</v>
      </c>
    </row>
    <row r="14" spans="1:3" x14ac:dyDescent="0.35">
      <c r="A14" s="1" t="s">
        <v>14</v>
      </c>
      <c r="B14">
        <f>$B$10*$C14</f>
        <v>44.800000000000004</v>
      </c>
      <c r="C14">
        <v>0.2</v>
      </c>
    </row>
    <row r="16" spans="1:3" x14ac:dyDescent="0.35">
      <c r="A16" s="1" t="s">
        <v>15</v>
      </c>
      <c r="B16">
        <v>8</v>
      </c>
    </row>
    <row r="17" spans="1:3" x14ac:dyDescent="0.35">
      <c r="A17" s="1" t="s">
        <v>16</v>
      </c>
    </row>
    <row r="18" spans="1:3" x14ac:dyDescent="0.35">
      <c r="A18" s="1" t="s">
        <v>17</v>
      </c>
      <c r="B18" s="1" t="s">
        <v>18</v>
      </c>
      <c r="C18" s="1" t="s">
        <v>19</v>
      </c>
    </row>
    <row r="19" spans="1:3" x14ac:dyDescent="0.35">
      <c r="A19" t="s">
        <v>20</v>
      </c>
      <c r="B19">
        <f>$B$10</f>
        <v>224</v>
      </c>
      <c r="C19">
        <f>$B$10/$B$16</f>
        <v>28</v>
      </c>
    </row>
    <row r="20" spans="1:3" x14ac:dyDescent="0.35">
      <c r="A20" t="s">
        <v>21</v>
      </c>
      <c r="B20">
        <f>$B$11</f>
        <v>89.600000000000009</v>
      </c>
      <c r="C20">
        <f>$B$11/$B$16</f>
        <v>11.200000000000001</v>
      </c>
    </row>
    <row r="21" spans="1:3" x14ac:dyDescent="0.35">
      <c r="A21" t="s">
        <v>22</v>
      </c>
      <c r="B21">
        <f>$B$12</f>
        <v>33.6</v>
      </c>
      <c r="C21">
        <f>$B$12/$B$16</f>
        <v>4.2</v>
      </c>
    </row>
    <row r="22" spans="1:3" x14ac:dyDescent="0.35">
      <c r="A22" t="s">
        <v>23</v>
      </c>
      <c r="B22">
        <f>$B$13</f>
        <v>22.400000000000002</v>
      </c>
      <c r="C22">
        <f>$B$13/$B$16</f>
        <v>2.8000000000000003</v>
      </c>
    </row>
    <row r="23" spans="1:3" x14ac:dyDescent="0.35">
      <c r="A23" t="s">
        <v>24</v>
      </c>
      <c r="B23">
        <f>$B$14</f>
        <v>44.800000000000004</v>
      </c>
      <c r="C23">
        <f>$B$14/$B$16</f>
        <v>5.6000000000000005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tabSelected="1" workbookViewId="0"/>
  </sheetViews>
  <sheetFormatPr defaultRowHeight="14.5" x14ac:dyDescent="0.35"/>
  <cols>
    <col min="1" max="2" width="60" customWidth="1"/>
    <col min="3" max="3" width="12" customWidth="1"/>
  </cols>
  <sheetData>
    <row r="1" spans="1:3" x14ac:dyDescent="0.35">
      <c r="A1" s="1" t="s">
        <v>25</v>
      </c>
      <c r="B1" t="s">
        <v>26</v>
      </c>
    </row>
    <row r="2" spans="1:3" ht="29" x14ac:dyDescent="0.35">
      <c r="A2" s="1" t="s">
        <v>27</v>
      </c>
      <c r="B2" s="2" t="s">
        <v>28</v>
      </c>
    </row>
    <row r="3" spans="1:3" x14ac:dyDescent="0.35">
      <c r="A3" s="1" t="s">
        <v>29</v>
      </c>
      <c r="B3">
        <v>4</v>
      </c>
    </row>
    <row r="5" spans="1:3" x14ac:dyDescent="0.35">
      <c r="A5" s="1" t="s">
        <v>30</v>
      </c>
      <c r="B5" s="1" t="s">
        <v>31</v>
      </c>
      <c r="C5" s="1" t="s">
        <v>32</v>
      </c>
    </row>
    <row r="6" spans="1:3" x14ac:dyDescent="0.35">
      <c r="A6" s="2" t="s">
        <v>33</v>
      </c>
      <c r="B6" t="s">
        <v>6</v>
      </c>
      <c r="C6" t="s">
        <v>34</v>
      </c>
    </row>
    <row r="7" spans="1:3" x14ac:dyDescent="0.35">
      <c r="A7" s="2" t="s">
        <v>35</v>
      </c>
      <c r="B7" t="s">
        <v>6</v>
      </c>
      <c r="C7" t="s">
        <v>34</v>
      </c>
    </row>
    <row r="8" spans="1:3" x14ac:dyDescent="0.35">
      <c r="A8" s="2" t="s">
        <v>36</v>
      </c>
      <c r="B8" t="s">
        <v>5</v>
      </c>
      <c r="C8" t="s">
        <v>34</v>
      </c>
    </row>
    <row r="9" spans="1:3" x14ac:dyDescent="0.35">
      <c r="A9" s="2" t="s">
        <v>37</v>
      </c>
      <c r="B9" t="s">
        <v>5</v>
      </c>
      <c r="C9" t="s">
        <v>34</v>
      </c>
    </row>
    <row r="10" spans="1:3" x14ac:dyDescent="0.35">
      <c r="A10" s="2" t="s">
        <v>38</v>
      </c>
      <c r="B10" t="s">
        <v>4</v>
      </c>
      <c r="C10" t="s">
        <v>34</v>
      </c>
    </row>
    <row r="11" spans="1:3" x14ac:dyDescent="0.35">
      <c r="A11" s="2" t="s">
        <v>39</v>
      </c>
      <c r="B11" t="s">
        <v>5</v>
      </c>
      <c r="C11" t="s">
        <v>34</v>
      </c>
    </row>
    <row r="12" spans="1:3" x14ac:dyDescent="0.35">
      <c r="A12" s="2" t="s">
        <v>40</v>
      </c>
      <c r="B12" t="s">
        <v>6</v>
      </c>
      <c r="C12" t="s">
        <v>34</v>
      </c>
    </row>
    <row r="14" spans="1:3" x14ac:dyDescent="0.35">
      <c r="A14" s="1" t="s">
        <v>41</v>
      </c>
    </row>
    <row r="15" spans="1:3" x14ac:dyDescent="0.35">
      <c r="A15" s="1" t="s">
        <v>42</v>
      </c>
      <c r="B15" s="1" t="s">
        <v>43</v>
      </c>
    </row>
    <row r="16" spans="1:3" ht="29" x14ac:dyDescent="0.35">
      <c r="A16" t="s">
        <v>44</v>
      </c>
      <c r="B16" s="2" t="s">
        <v>45</v>
      </c>
    </row>
    <row r="17" spans="1:2" x14ac:dyDescent="0.35">
      <c r="A17" t="s">
        <v>46</v>
      </c>
      <c r="B17" s="2" t="s">
        <v>47</v>
      </c>
    </row>
    <row r="18" spans="1:2" x14ac:dyDescent="0.35">
      <c r="A18" t="s">
        <v>48</v>
      </c>
      <c r="B18" s="2" t="s">
        <v>49</v>
      </c>
    </row>
    <row r="19" spans="1:2" ht="29" x14ac:dyDescent="0.35">
      <c r="A19" t="s">
        <v>50</v>
      </c>
      <c r="B19" s="2" t="s">
        <v>51</v>
      </c>
    </row>
    <row r="21" spans="1:2" ht="29" x14ac:dyDescent="0.35">
      <c r="A21" s="1" t="s">
        <v>52</v>
      </c>
      <c r="B21" s="2" t="s">
        <v>53</v>
      </c>
    </row>
    <row r="22" spans="1:2" x14ac:dyDescent="0.35">
      <c r="A22" s="1" t="s">
        <v>54</v>
      </c>
      <c r="B22">
        <v>4</v>
      </c>
    </row>
    <row r="23" spans="1:2" x14ac:dyDescent="0.35">
      <c r="A23" s="1" t="s">
        <v>55</v>
      </c>
      <c r="B23">
        <f>SUMPRODUCT(COUNTIF($B$6:$B$12,ResourceLoading!$A$3:$A$7),ResourceLoading!$B$3:$B$7)</f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/>
  </sheetViews>
  <sheetFormatPr defaultRowHeight="14.5" x14ac:dyDescent="0.35"/>
  <cols>
    <col min="1" max="2" width="60" customWidth="1"/>
    <col min="3" max="3" width="12" customWidth="1"/>
  </cols>
  <sheetData>
    <row r="1" spans="1:3" x14ac:dyDescent="0.35">
      <c r="A1" s="1" t="s">
        <v>25</v>
      </c>
      <c r="B1" t="s">
        <v>56</v>
      </c>
    </row>
    <row r="2" spans="1:3" x14ac:dyDescent="0.35">
      <c r="A2" s="1" t="s">
        <v>27</v>
      </c>
      <c r="B2" s="2" t="s">
        <v>57</v>
      </c>
    </row>
    <row r="3" spans="1:3" x14ac:dyDescent="0.35">
      <c r="A3" s="1" t="s">
        <v>29</v>
      </c>
      <c r="B3">
        <v>4</v>
      </c>
    </row>
    <row r="5" spans="1:3" x14ac:dyDescent="0.35">
      <c r="A5" s="1" t="s">
        <v>30</v>
      </c>
      <c r="B5" s="1" t="s">
        <v>31</v>
      </c>
      <c r="C5" s="1" t="s">
        <v>32</v>
      </c>
    </row>
    <row r="6" spans="1:3" ht="29" x14ac:dyDescent="0.35">
      <c r="A6" s="2" t="s">
        <v>58</v>
      </c>
      <c r="B6" t="s">
        <v>7</v>
      </c>
      <c r="C6" t="s">
        <v>34</v>
      </c>
    </row>
    <row r="7" spans="1:3" x14ac:dyDescent="0.35">
      <c r="A7" s="2" t="s">
        <v>59</v>
      </c>
      <c r="B7" t="s">
        <v>6</v>
      </c>
      <c r="C7" t="s">
        <v>34</v>
      </c>
    </row>
    <row r="8" spans="1:3" x14ac:dyDescent="0.35">
      <c r="A8" s="2" t="s">
        <v>60</v>
      </c>
      <c r="B8" t="s">
        <v>5</v>
      </c>
      <c r="C8" t="s">
        <v>34</v>
      </c>
    </row>
    <row r="9" spans="1:3" x14ac:dyDescent="0.35">
      <c r="A9" s="2" t="s">
        <v>61</v>
      </c>
      <c r="B9" t="s">
        <v>5</v>
      </c>
      <c r="C9" t="s">
        <v>34</v>
      </c>
    </row>
    <row r="10" spans="1:3" x14ac:dyDescent="0.35">
      <c r="A10" s="2" t="s">
        <v>62</v>
      </c>
      <c r="B10" t="s">
        <v>4</v>
      </c>
      <c r="C10" t="s">
        <v>34</v>
      </c>
    </row>
    <row r="11" spans="1:3" x14ac:dyDescent="0.35">
      <c r="A11" s="2" t="s">
        <v>63</v>
      </c>
      <c r="B11" t="s">
        <v>6</v>
      </c>
      <c r="C11" t="s">
        <v>34</v>
      </c>
    </row>
    <row r="12" spans="1:3" x14ac:dyDescent="0.35">
      <c r="A12" s="2" t="s">
        <v>64</v>
      </c>
      <c r="B12" t="s">
        <v>5</v>
      </c>
      <c r="C12" t="s">
        <v>34</v>
      </c>
    </row>
    <row r="14" spans="1:3" x14ac:dyDescent="0.35">
      <c r="A14" s="1" t="s">
        <v>41</v>
      </c>
    </row>
    <row r="15" spans="1:3" x14ac:dyDescent="0.35">
      <c r="A15" s="1" t="s">
        <v>42</v>
      </c>
      <c r="B15" s="1" t="s">
        <v>43</v>
      </c>
    </row>
    <row r="16" spans="1:3" x14ac:dyDescent="0.35">
      <c r="A16" t="s">
        <v>65</v>
      </c>
      <c r="B16" s="2" t="s">
        <v>66</v>
      </c>
    </row>
    <row r="17" spans="1:2" x14ac:dyDescent="0.35">
      <c r="A17" t="s">
        <v>67</v>
      </c>
      <c r="B17" s="2" t="s">
        <v>68</v>
      </c>
    </row>
    <row r="18" spans="1:2" x14ac:dyDescent="0.35">
      <c r="A18" t="s">
        <v>69</v>
      </c>
      <c r="B18" s="2" t="s">
        <v>70</v>
      </c>
    </row>
    <row r="19" spans="1:2" ht="29" x14ac:dyDescent="0.35">
      <c r="A19" t="s">
        <v>71</v>
      </c>
      <c r="B19" s="2" t="s">
        <v>72</v>
      </c>
    </row>
    <row r="21" spans="1:2" ht="29" x14ac:dyDescent="0.35">
      <c r="A21" s="1" t="s">
        <v>52</v>
      </c>
      <c r="B21" s="2" t="s">
        <v>73</v>
      </c>
    </row>
    <row r="22" spans="1:2" x14ac:dyDescent="0.35">
      <c r="A22" s="1" t="s">
        <v>54</v>
      </c>
      <c r="B22">
        <v>4</v>
      </c>
    </row>
    <row r="23" spans="1:2" x14ac:dyDescent="0.35">
      <c r="A23" s="1" t="s">
        <v>55</v>
      </c>
      <c r="B23">
        <f>SUMPRODUCT(COUNTIF($B$6:$B$12,ResourceLoading!$A$3:$A$7),ResourceLoading!$B$3:$B$7)</f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"/>
  <sheetViews>
    <sheetView workbookViewId="0"/>
  </sheetViews>
  <sheetFormatPr defaultRowHeight="14.5" x14ac:dyDescent="0.35"/>
  <cols>
    <col min="1" max="2" width="60" customWidth="1"/>
    <col min="3" max="3" width="12" customWidth="1"/>
  </cols>
  <sheetData>
    <row r="1" spans="1:3" x14ac:dyDescent="0.35">
      <c r="A1" s="1" t="s">
        <v>25</v>
      </c>
      <c r="B1" t="s">
        <v>74</v>
      </c>
    </row>
    <row r="2" spans="1:3" ht="29" x14ac:dyDescent="0.35">
      <c r="A2" s="1" t="s">
        <v>27</v>
      </c>
      <c r="B2" s="2" t="s">
        <v>75</v>
      </c>
    </row>
    <row r="3" spans="1:3" x14ac:dyDescent="0.35">
      <c r="A3" s="1" t="s">
        <v>29</v>
      </c>
      <c r="B3">
        <v>5</v>
      </c>
    </row>
    <row r="5" spans="1:3" x14ac:dyDescent="0.35">
      <c r="A5" s="1" t="s">
        <v>30</v>
      </c>
      <c r="B5" s="1" t="s">
        <v>31</v>
      </c>
      <c r="C5" s="1" t="s">
        <v>32</v>
      </c>
    </row>
    <row r="6" spans="1:3" ht="29" x14ac:dyDescent="0.35">
      <c r="A6" s="2" t="s">
        <v>76</v>
      </c>
      <c r="B6" t="s">
        <v>6</v>
      </c>
      <c r="C6" t="s">
        <v>34</v>
      </c>
    </row>
    <row r="7" spans="1:3" x14ac:dyDescent="0.35">
      <c r="A7" s="2" t="s">
        <v>77</v>
      </c>
      <c r="B7" t="s">
        <v>5</v>
      </c>
      <c r="C7" t="s">
        <v>34</v>
      </c>
    </row>
    <row r="8" spans="1:3" x14ac:dyDescent="0.35">
      <c r="A8" s="2" t="s">
        <v>78</v>
      </c>
      <c r="B8" t="s">
        <v>5</v>
      </c>
      <c r="C8" t="s">
        <v>34</v>
      </c>
    </row>
    <row r="9" spans="1:3" ht="29" x14ac:dyDescent="0.35">
      <c r="A9" s="2" t="s">
        <v>79</v>
      </c>
      <c r="B9" t="s">
        <v>6</v>
      </c>
      <c r="C9" t="s">
        <v>34</v>
      </c>
    </row>
    <row r="10" spans="1:3" x14ac:dyDescent="0.35">
      <c r="A10" s="2" t="s">
        <v>80</v>
      </c>
      <c r="B10" t="s">
        <v>5</v>
      </c>
      <c r="C10" t="s">
        <v>34</v>
      </c>
    </row>
    <row r="11" spans="1:3" x14ac:dyDescent="0.35">
      <c r="A11" s="2" t="s">
        <v>81</v>
      </c>
      <c r="B11" t="s">
        <v>4</v>
      </c>
      <c r="C11" t="s">
        <v>34</v>
      </c>
    </row>
    <row r="12" spans="1:3" x14ac:dyDescent="0.35">
      <c r="A12" s="2" t="s">
        <v>82</v>
      </c>
      <c r="B12" t="s">
        <v>4</v>
      </c>
      <c r="C12" t="s">
        <v>34</v>
      </c>
    </row>
    <row r="14" spans="1:3" x14ac:dyDescent="0.35">
      <c r="A14" s="1" t="s">
        <v>41</v>
      </c>
    </row>
    <row r="15" spans="1:3" x14ac:dyDescent="0.35">
      <c r="A15" s="1" t="s">
        <v>42</v>
      </c>
      <c r="B15" s="1" t="s">
        <v>43</v>
      </c>
    </row>
    <row r="16" spans="1:3" x14ac:dyDescent="0.35">
      <c r="A16" t="s">
        <v>83</v>
      </c>
      <c r="B16" s="2" t="s">
        <v>84</v>
      </c>
    </row>
    <row r="17" spans="1:2" x14ac:dyDescent="0.35">
      <c r="A17" t="s">
        <v>85</v>
      </c>
      <c r="B17" s="2" t="s">
        <v>86</v>
      </c>
    </row>
    <row r="18" spans="1:2" x14ac:dyDescent="0.35">
      <c r="A18" t="s">
        <v>87</v>
      </c>
      <c r="B18" s="2" t="s">
        <v>88</v>
      </c>
    </row>
    <row r="19" spans="1:2" x14ac:dyDescent="0.35">
      <c r="A19" t="s">
        <v>89</v>
      </c>
      <c r="B19" s="2" t="s">
        <v>90</v>
      </c>
    </row>
    <row r="20" spans="1:2" x14ac:dyDescent="0.35">
      <c r="A20" t="s">
        <v>91</v>
      </c>
      <c r="B20" s="2" t="s">
        <v>92</v>
      </c>
    </row>
    <row r="22" spans="1:2" ht="29" x14ac:dyDescent="0.35">
      <c r="A22" s="1" t="s">
        <v>52</v>
      </c>
      <c r="B22" s="2" t="s">
        <v>93</v>
      </c>
    </row>
    <row r="23" spans="1:2" x14ac:dyDescent="0.35">
      <c r="A23" s="1" t="s">
        <v>54</v>
      </c>
      <c r="B23">
        <v>5</v>
      </c>
    </row>
    <row r="24" spans="1:2" x14ac:dyDescent="0.35">
      <c r="A24" s="1" t="s">
        <v>55</v>
      </c>
      <c r="B24">
        <f>SUMPRODUCT(COUNTIF($B$6:$B$12,ResourceLoading!$A$3:$A$7),ResourceLoading!$B$3:$B$7)</f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ResourceLoading</vt:lpstr>
      <vt:lpstr>Data Collection &amp; Integration</vt:lpstr>
      <vt:lpstr>Forecasting Engine</vt:lpstr>
      <vt:lpstr>Replenishment Order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Madhura Pethe</cp:lastModifiedBy>
  <dcterms:created xsi:type="dcterms:W3CDTF">2025-12-01T11:01:13Z</dcterms:created>
  <dcterms:modified xsi:type="dcterms:W3CDTF">2025-12-04T07:00:57Z</dcterms:modified>
</cp:coreProperties>
</file>