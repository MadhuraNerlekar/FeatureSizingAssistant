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cubxpertstechno-my.sharepoint.com/personal/madhurap_incubxperts_com/Documents/Documents/IX/My own AI project/Feature sizing assistant/"/>
    </mc:Choice>
  </mc:AlternateContent>
  <xr:revisionPtr revIDLastSave="1" documentId="11_6AB7AB715245B26846119B42EC8F013D63CE9D53" xr6:coauthVersionLast="47" xr6:coauthVersionMax="47" xr10:uidLastSave="{AE60AE54-7CD0-4EA2-B995-618252B81C6E}"/>
  <bookViews>
    <workbookView xWindow="-110" yWindow="-110" windowWidth="19420" windowHeight="10300" xr2:uid="{00000000-000D-0000-FFFF-FFFF00000000}"/>
  </bookViews>
  <sheets>
    <sheet name="ResourceLoading" sheetId="1" r:id="rId1"/>
    <sheet name="User Registration and Authentic" sheetId="2" r:id="rId2"/>
    <sheet name="Class and Schedule Management" sheetId="3" r:id="rId3"/>
    <sheet name="Assignments and Grades" sheetId="4" r:id="rId4"/>
    <sheet name="Notifications and Communic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5" l="1"/>
  <c r="B24" i="4"/>
  <c r="B24" i="3"/>
  <c r="B24" i="2"/>
  <c r="B10" i="1" s="1"/>
  <c r="C19" i="1" l="1"/>
  <c r="B11" i="1"/>
  <c r="B19" i="1"/>
  <c r="B14" i="1"/>
  <c r="B12" i="1"/>
  <c r="B13" i="1"/>
  <c r="C23" i="1" l="1"/>
  <c r="B23" i="1"/>
  <c r="C22" i="1"/>
  <c r="B22" i="1"/>
  <c r="B21" i="1"/>
  <c r="C21" i="1"/>
  <c r="C20" i="1"/>
  <c r="B20" i="1"/>
</calcChain>
</file>

<file path=xl/sharedStrings.xml><?xml version="1.0" encoding="utf-8"?>
<sst xmlns="http://schemas.openxmlformats.org/spreadsheetml/2006/main" count="218" uniqueCount="116">
  <si>
    <t>T-shirt Sizing to Hours</t>
  </si>
  <si>
    <t>Size</t>
  </si>
  <si>
    <t>Hours (editable)</t>
  </si>
  <si>
    <t>XS</t>
  </si>
  <si>
    <t>S</t>
  </si>
  <si>
    <t>M</t>
  </si>
  <si>
    <t>L</t>
  </si>
  <si>
    <t>XL</t>
  </si>
  <si>
    <t>Effort Allocation</t>
  </si>
  <si>
    <t>Ratio (editable)</t>
  </si>
  <si>
    <t>Dev Hours</t>
  </si>
  <si>
    <t>Static Dev Hours</t>
  </si>
  <si>
    <t>QA Hours</t>
  </si>
  <si>
    <t>PM Hours</t>
  </si>
  <si>
    <t>Architect Hours</t>
  </si>
  <si>
    <t>Buffer Hours</t>
  </si>
  <si>
    <t>Hours per Resource Day</t>
  </si>
  <si>
    <t>Resource Utilization</t>
  </si>
  <si>
    <t>Role</t>
  </si>
  <si>
    <t>Hours</t>
  </si>
  <si>
    <t>Resource Days</t>
  </si>
  <si>
    <t>Dev</t>
  </si>
  <si>
    <t>QA</t>
  </si>
  <si>
    <t>PM</t>
  </si>
  <si>
    <t>Architect</t>
  </si>
  <si>
    <t>Buffer</t>
  </si>
  <si>
    <t>Module Name</t>
  </si>
  <si>
    <t>User Registration and Authentication</t>
  </si>
  <si>
    <t>Module Description</t>
  </si>
  <si>
    <t>Handles creating and managing user accounts for students, teachers, and admins.</t>
  </si>
  <si>
    <t>Number of Screens</t>
  </si>
  <si>
    <t>Requirement</t>
  </si>
  <si>
    <t>Size (XS/S/M/L/XL)</t>
  </si>
  <si>
    <t>Notes</t>
  </si>
  <si>
    <t>Implement role-based registration flow for Students, Teachers, Admins.</t>
  </si>
  <si>
    <t>—</t>
  </si>
  <si>
    <t>Validate unique email addresses for account creation.</t>
  </si>
  <si>
    <t>Integrate secure password hashing and storage.</t>
  </si>
  <si>
    <t>Develop login form with error handling for invalid credentials.</t>
  </si>
  <si>
    <t>Enable email-based password reset workflow.</t>
  </si>
  <si>
    <t>Include CAPTCHA protection on registration to prevent bot signup.</t>
  </si>
  <si>
    <t>Allow users to update their profile information securely.</t>
  </si>
  <si>
    <t>Implement session management with timeout support.</t>
  </si>
  <si>
    <t>Screens</t>
  </si>
  <si>
    <t>Screen Title</t>
  </si>
  <si>
    <t>Description</t>
  </si>
  <si>
    <t>Registration Screen</t>
  </si>
  <si>
    <t>Users can sign up with role selection and input required details.</t>
  </si>
  <si>
    <t>Login Screen</t>
  </si>
  <si>
    <t>Users enter credentials to access the system.</t>
  </si>
  <si>
    <t>Password Reset Screen</t>
  </si>
  <si>
    <t>Users can request password reset via email.</t>
  </si>
  <si>
    <t>Profile Management Screen</t>
  </si>
  <si>
    <t>Users update personal information and preferences.</t>
  </si>
  <si>
    <t>Module Summary:</t>
  </si>
  <si>
    <t>Allows users to register, log in, reset password, and manage profile settings.</t>
  </si>
  <si>
    <t>Screens:</t>
  </si>
  <si>
    <t>Total Module Hours (calculated):</t>
  </si>
  <si>
    <t>Static total (Python)</t>
  </si>
  <si>
    <t>Class and Schedule Management</t>
  </si>
  <si>
    <t>Manage classes, timetables, and enrollment of students and teachers.</t>
  </si>
  <si>
    <t>Allow admins to create and define classes with attributes.</t>
  </si>
  <si>
    <t>Support scheduling class sessions with dates and times.</t>
  </si>
  <si>
    <t>Enable student enrollment management per class.</t>
  </si>
  <si>
    <t>Allow teacher assignment with role validation.</t>
  </si>
  <si>
    <t>Provide calendar view for class schedules.</t>
  </si>
  <si>
    <t>Prevent scheduling conflicts for students and teachers.</t>
  </si>
  <si>
    <t>Include search and filter functionality for classes.</t>
  </si>
  <si>
    <t>Send notifications to enrolled students and assigned teachers on schedule changes.</t>
  </si>
  <si>
    <t>Class List Screen</t>
  </si>
  <si>
    <t>Displays all classes with details and status.</t>
  </si>
  <si>
    <t>Create/Edit Class Screen</t>
  </si>
  <si>
    <t>Forms to add or modify class information and schedules.</t>
  </si>
  <si>
    <t>Student Enrollment Screen</t>
  </si>
  <si>
    <t>Manage student registration to classes.</t>
  </si>
  <si>
    <t>Teacher Assignment Screen</t>
  </si>
  <si>
    <t>Assign teachers to classes and view assignments.</t>
  </si>
  <si>
    <t>Create, edit, and view class schedules and assign participants.</t>
  </si>
  <si>
    <t>Assignments and Grades</t>
  </si>
  <si>
    <t>Manage assignment creation, submission tracking, and grade recording.</t>
  </si>
  <si>
    <t>Enable teachers to create assignments linked to classes.</t>
  </si>
  <si>
    <t>Allow file uploads for student assignment submissions.</t>
  </si>
  <si>
    <t>Track submission deadlines and late submissions.</t>
  </si>
  <si>
    <t>Permit teachers to enter and edit grades per assignment.</t>
  </si>
  <si>
    <t>Provide students visibility into submitted assignments and grades.</t>
  </si>
  <si>
    <t>Send notifications to students on assignment creation and grading.</t>
  </si>
  <si>
    <t>Support multiple file formats for submissions.</t>
  </si>
  <si>
    <t>Allow teachers to leave textual feedback with grades.</t>
  </si>
  <si>
    <t>Assignment List Screen</t>
  </si>
  <si>
    <t>Shows assignments per class with deadlines and status.</t>
  </si>
  <si>
    <t>Create/Edit Assignment Screen</t>
  </si>
  <si>
    <t>Form for teachers to define assignment details.</t>
  </si>
  <si>
    <t>Student Submission Screen</t>
  </si>
  <si>
    <t>Students upload assignments and track status.</t>
  </si>
  <si>
    <t>Grade Entry Screen</t>
  </si>
  <si>
    <t>Teachers record grades and provide feedback.</t>
  </si>
  <si>
    <t>Teachers create assignments and enter grades; students submit work.</t>
  </si>
  <si>
    <t>Notifications and Communication</t>
  </si>
  <si>
    <t>Facilitate communication between users via messages and system alerts.</t>
  </si>
  <si>
    <t>Implement system notifications for assignment and schedule updates.</t>
  </si>
  <si>
    <t>Enable direct user-to-user messaging with read receipts.</t>
  </si>
  <si>
    <t>Allow users to filter and mark notifications as read or unread.</t>
  </si>
  <si>
    <t>Support notification preferences per user.</t>
  </si>
  <si>
    <t>Send email alerts for critical notifications.</t>
  </si>
  <si>
    <t>Provide real-time message updates via web sockets or polling.</t>
  </si>
  <si>
    <t>Store message history with secure access controls.</t>
  </si>
  <si>
    <t>Allow attachment support in messages.</t>
  </si>
  <si>
    <t>Notification Center Screen</t>
  </si>
  <si>
    <t>Centralized view for all system notifications.</t>
  </si>
  <si>
    <t>Messaging Inbox Screen</t>
  </si>
  <si>
    <t>Users view and send messages to others.</t>
  </si>
  <si>
    <t>Compose Message Screen</t>
  </si>
  <si>
    <t>Form to write and send new messages.</t>
  </si>
  <si>
    <t>Notification Settings Screen</t>
  </si>
  <si>
    <t>Users configure their notification preferences.</t>
  </si>
  <si>
    <t>Send alerts, reminders, and support message exchange in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</si>
</sst>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4" workbookViewId="0">
      <selection activeCell="C19" sqref="C19"/>
    </sheetView>
  </sheetViews>
  <sheetFormatPr defaultRowHeight="14.5" x14ac:dyDescent="0.35"/>
  <cols>
    <col min="1" max="1" width="25" customWidth="1"/>
    <col min="2" max="2" width="60" customWidth="1"/>
    <col min="3" max="3" width="18" customWidth="1"/>
    <col min="4" max="4" width="14" customWidth="1"/>
  </cols>
  <sheetData>
    <row r="1" spans="1:4" x14ac:dyDescent="0.35">
      <c r="A1" s="1" t="s">
        <v>0</v>
      </c>
    </row>
    <row r="2" spans="1:4" x14ac:dyDescent="0.35">
      <c r="A2" s="1" t="s">
        <v>1</v>
      </c>
      <c r="B2" s="1" t="s">
        <v>2</v>
      </c>
    </row>
    <row r="3" spans="1:4" x14ac:dyDescent="0.35">
      <c r="A3" t="s">
        <v>3</v>
      </c>
      <c r="B3">
        <v>2</v>
      </c>
    </row>
    <row r="4" spans="1:4" x14ac:dyDescent="0.35">
      <c r="A4" t="s">
        <v>4</v>
      </c>
      <c r="B4">
        <v>4</v>
      </c>
    </row>
    <row r="5" spans="1:4" x14ac:dyDescent="0.35">
      <c r="A5" t="s">
        <v>5</v>
      </c>
      <c r="B5">
        <v>8</v>
      </c>
    </row>
    <row r="6" spans="1:4" x14ac:dyDescent="0.35">
      <c r="A6" t="s">
        <v>6</v>
      </c>
      <c r="B6">
        <v>16</v>
      </c>
    </row>
    <row r="7" spans="1:4" x14ac:dyDescent="0.35">
      <c r="A7" t="s">
        <v>7</v>
      </c>
      <c r="B7">
        <v>24</v>
      </c>
    </row>
    <row r="9" spans="1:4" x14ac:dyDescent="0.35">
      <c r="A9" s="1" t="s">
        <v>8</v>
      </c>
      <c r="C9" s="1" t="s">
        <v>9</v>
      </c>
    </row>
    <row r="10" spans="1:4" x14ac:dyDescent="0.35">
      <c r="A10" s="1" t="s">
        <v>10</v>
      </c>
      <c r="B10">
        <f>SUM('User Registration and Authentic'!B24,'Class and Schedule Management'!B24,'Assignments and Grades'!B24,'Notifications and Communication'!B24)</f>
        <v>232</v>
      </c>
      <c r="C10" t="s">
        <v>11</v>
      </c>
      <c r="D10">
        <v>232</v>
      </c>
    </row>
    <row r="11" spans="1:4" x14ac:dyDescent="0.35">
      <c r="A11" s="1" t="s">
        <v>12</v>
      </c>
      <c r="B11">
        <f>$B$10*$C11</f>
        <v>92.800000000000011</v>
      </c>
      <c r="C11">
        <v>0.4</v>
      </c>
    </row>
    <row r="12" spans="1:4" x14ac:dyDescent="0.35">
      <c r="A12" s="1" t="s">
        <v>13</v>
      </c>
      <c r="B12">
        <f>$B$10*$C12</f>
        <v>34.799999999999997</v>
      </c>
      <c r="C12">
        <v>0.15</v>
      </c>
    </row>
    <row r="13" spans="1:4" x14ac:dyDescent="0.35">
      <c r="A13" s="1" t="s">
        <v>14</v>
      </c>
      <c r="B13">
        <f>$B$10*$C13</f>
        <v>23.200000000000003</v>
      </c>
      <c r="C13">
        <v>0.1</v>
      </c>
    </row>
    <row r="14" spans="1:4" x14ac:dyDescent="0.35">
      <c r="A14" s="1" t="s">
        <v>15</v>
      </c>
      <c r="B14">
        <f>$B$10*$C14</f>
        <v>46.400000000000006</v>
      </c>
      <c r="C14">
        <v>0.2</v>
      </c>
    </row>
    <row r="16" spans="1:4" x14ac:dyDescent="0.35">
      <c r="A16" s="1" t="s">
        <v>16</v>
      </c>
      <c r="B16">
        <v>6</v>
      </c>
    </row>
    <row r="17" spans="1:3" x14ac:dyDescent="0.35">
      <c r="A17" s="1" t="s">
        <v>17</v>
      </c>
    </row>
    <row r="18" spans="1:3" x14ac:dyDescent="0.35">
      <c r="A18" s="1" t="s">
        <v>18</v>
      </c>
      <c r="B18" s="1" t="s">
        <v>19</v>
      </c>
      <c r="C18" s="1" t="s">
        <v>20</v>
      </c>
    </row>
    <row r="19" spans="1:3" x14ac:dyDescent="0.35">
      <c r="A19" t="s">
        <v>21</v>
      </c>
      <c r="B19">
        <f>$B$10</f>
        <v>232</v>
      </c>
      <c r="C19">
        <f>$B$10/$B$16</f>
        <v>38.666666666666664</v>
      </c>
    </row>
    <row r="20" spans="1:3" x14ac:dyDescent="0.35">
      <c r="A20" t="s">
        <v>22</v>
      </c>
      <c r="B20">
        <f>$B$11</f>
        <v>92.800000000000011</v>
      </c>
      <c r="C20">
        <f>$B$11/$B$16</f>
        <v>15.466666666666669</v>
      </c>
    </row>
    <row r="21" spans="1:3" x14ac:dyDescent="0.35">
      <c r="A21" t="s">
        <v>23</v>
      </c>
      <c r="B21">
        <f>$B$12</f>
        <v>34.799999999999997</v>
      </c>
      <c r="C21">
        <f>$B$12/$B$16</f>
        <v>5.8</v>
      </c>
    </row>
    <row r="22" spans="1:3" x14ac:dyDescent="0.35">
      <c r="A22" t="s">
        <v>24</v>
      </c>
      <c r="B22">
        <f>$B$13</f>
        <v>23.200000000000003</v>
      </c>
      <c r="C22">
        <f>$B$13/$B$16</f>
        <v>3.8666666666666671</v>
      </c>
    </row>
    <row r="23" spans="1:3" x14ac:dyDescent="0.35">
      <c r="A23" t="s">
        <v>25</v>
      </c>
      <c r="B23">
        <f>$B$14</f>
        <v>46.400000000000006</v>
      </c>
      <c r="C23">
        <f>$B$14/$B$16</f>
        <v>7.7333333333333343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topLeftCell="A6" workbookViewId="0"/>
  </sheetViews>
  <sheetFormatPr defaultRowHeight="14.5" x14ac:dyDescent="0.35"/>
  <cols>
    <col min="1" max="2" width="60" customWidth="1"/>
    <col min="3" max="3" width="23" customWidth="1"/>
    <col min="4" max="4" width="12" customWidth="1"/>
  </cols>
  <sheetData>
    <row r="1" spans="1:3" x14ac:dyDescent="0.35">
      <c r="A1" s="1" t="s">
        <v>26</v>
      </c>
      <c r="B1" t="s">
        <v>27</v>
      </c>
    </row>
    <row r="2" spans="1:3" ht="29" x14ac:dyDescent="0.35">
      <c r="A2" s="1" t="s">
        <v>28</v>
      </c>
      <c r="B2" s="2" t="s">
        <v>29</v>
      </c>
    </row>
    <row r="3" spans="1:3" x14ac:dyDescent="0.35">
      <c r="A3" s="1" t="s">
        <v>30</v>
      </c>
      <c r="B3">
        <v>4</v>
      </c>
    </row>
    <row r="5" spans="1:3" x14ac:dyDescent="0.35">
      <c r="A5" s="1" t="s">
        <v>31</v>
      </c>
      <c r="B5" s="1" t="s">
        <v>32</v>
      </c>
      <c r="C5" s="1" t="s">
        <v>33</v>
      </c>
    </row>
    <row r="6" spans="1:3" ht="29" x14ac:dyDescent="0.35">
      <c r="A6" s="2" t="s">
        <v>34</v>
      </c>
      <c r="B6" t="s">
        <v>5</v>
      </c>
      <c r="C6" t="s">
        <v>35</v>
      </c>
    </row>
    <row r="7" spans="1:3" x14ac:dyDescent="0.35">
      <c r="A7" s="2" t="s">
        <v>36</v>
      </c>
      <c r="B7" t="s">
        <v>4</v>
      </c>
      <c r="C7" t="s">
        <v>35</v>
      </c>
    </row>
    <row r="8" spans="1:3" x14ac:dyDescent="0.35">
      <c r="A8" s="2" t="s">
        <v>37</v>
      </c>
      <c r="B8" t="s">
        <v>5</v>
      </c>
      <c r="C8" t="s">
        <v>35</v>
      </c>
    </row>
    <row r="9" spans="1:3" x14ac:dyDescent="0.35">
      <c r="A9" s="2" t="s">
        <v>38</v>
      </c>
      <c r="B9" t="s">
        <v>4</v>
      </c>
      <c r="C9" t="s">
        <v>35</v>
      </c>
    </row>
    <row r="10" spans="1:3" x14ac:dyDescent="0.35">
      <c r="A10" s="2" t="s">
        <v>39</v>
      </c>
      <c r="B10" t="s">
        <v>5</v>
      </c>
      <c r="C10" t="s">
        <v>35</v>
      </c>
    </row>
    <row r="11" spans="1:3" x14ac:dyDescent="0.35">
      <c r="A11" s="2" t="s">
        <v>40</v>
      </c>
      <c r="B11" t="s">
        <v>4</v>
      </c>
      <c r="C11" t="s">
        <v>35</v>
      </c>
    </row>
    <row r="12" spans="1:3" x14ac:dyDescent="0.35">
      <c r="A12" s="2" t="s">
        <v>41</v>
      </c>
      <c r="B12" t="s">
        <v>4</v>
      </c>
      <c r="C12" t="s">
        <v>35</v>
      </c>
    </row>
    <row r="13" spans="1:3" x14ac:dyDescent="0.35">
      <c r="A13" s="2" t="s">
        <v>42</v>
      </c>
      <c r="B13" t="s">
        <v>5</v>
      </c>
      <c r="C13" t="s">
        <v>35</v>
      </c>
    </row>
    <row r="15" spans="1:3" x14ac:dyDescent="0.35">
      <c r="A15" s="1" t="s">
        <v>43</v>
      </c>
    </row>
    <row r="16" spans="1:3" x14ac:dyDescent="0.35">
      <c r="A16" s="1" t="s">
        <v>44</v>
      </c>
      <c r="B16" s="1" t="s">
        <v>45</v>
      </c>
    </row>
    <row r="17" spans="1:4" x14ac:dyDescent="0.35">
      <c r="A17" t="s">
        <v>46</v>
      </c>
      <c r="B17" s="2" t="s">
        <v>47</v>
      </c>
    </row>
    <row r="18" spans="1:4" x14ac:dyDescent="0.35">
      <c r="A18" t="s">
        <v>48</v>
      </c>
      <c r="B18" s="2" t="s">
        <v>49</v>
      </c>
    </row>
    <row r="19" spans="1:4" x14ac:dyDescent="0.35">
      <c r="A19" t="s">
        <v>50</v>
      </c>
      <c r="B19" s="2" t="s">
        <v>51</v>
      </c>
    </row>
    <row r="20" spans="1:4" x14ac:dyDescent="0.35">
      <c r="A20" t="s">
        <v>52</v>
      </c>
      <c r="B20" s="2" t="s">
        <v>53</v>
      </c>
    </row>
    <row r="22" spans="1:4" ht="29" x14ac:dyDescent="0.35">
      <c r="A22" s="1" t="s">
        <v>54</v>
      </c>
      <c r="B22" s="2" t="s">
        <v>55</v>
      </c>
    </row>
    <row r="23" spans="1:4" x14ac:dyDescent="0.35">
      <c r="A23" s="1" t="s">
        <v>56</v>
      </c>
      <c r="B23">
        <v>4</v>
      </c>
    </row>
    <row r="24" spans="1:4" x14ac:dyDescent="0.35">
      <c r="A24" s="1" t="s">
        <v>57</v>
      </c>
      <c r="B24">
        <f>SUMPRODUCT(COUNTIF($B$6:$B$13,ResourceLoading!$A$3:$A$7)*ResourceLoading!$B$3:$B$7)</f>
        <v>48</v>
      </c>
      <c r="C24" t="s">
        <v>58</v>
      </c>
      <c r="D24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/>
  </sheetViews>
  <sheetFormatPr defaultRowHeight="14.5" x14ac:dyDescent="0.35"/>
  <cols>
    <col min="1" max="2" width="60" customWidth="1"/>
    <col min="3" max="3" width="23" customWidth="1"/>
    <col min="4" max="4" width="12" customWidth="1"/>
  </cols>
  <sheetData>
    <row r="1" spans="1:3" x14ac:dyDescent="0.35">
      <c r="A1" s="1" t="s">
        <v>26</v>
      </c>
      <c r="B1" t="s">
        <v>59</v>
      </c>
    </row>
    <row r="2" spans="1:3" x14ac:dyDescent="0.35">
      <c r="A2" s="1" t="s">
        <v>28</v>
      </c>
      <c r="B2" s="2" t="s">
        <v>60</v>
      </c>
    </row>
    <row r="3" spans="1:3" x14ac:dyDescent="0.35">
      <c r="A3" s="1" t="s">
        <v>30</v>
      </c>
      <c r="B3">
        <v>4</v>
      </c>
    </row>
    <row r="5" spans="1:3" x14ac:dyDescent="0.35">
      <c r="A5" s="1" t="s">
        <v>31</v>
      </c>
      <c r="B5" s="1" t="s">
        <v>32</v>
      </c>
      <c r="C5" s="1" t="s">
        <v>33</v>
      </c>
    </row>
    <row r="6" spans="1:3" x14ac:dyDescent="0.35">
      <c r="A6" s="2" t="s">
        <v>61</v>
      </c>
      <c r="B6" t="s">
        <v>5</v>
      </c>
      <c r="C6" t="s">
        <v>35</v>
      </c>
    </row>
    <row r="7" spans="1:3" x14ac:dyDescent="0.35">
      <c r="A7" s="2" t="s">
        <v>62</v>
      </c>
      <c r="B7" t="s">
        <v>5</v>
      </c>
      <c r="C7" t="s">
        <v>35</v>
      </c>
    </row>
    <row r="8" spans="1:3" x14ac:dyDescent="0.35">
      <c r="A8" s="2" t="s">
        <v>63</v>
      </c>
      <c r="B8" t="s">
        <v>5</v>
      </c>
      <c r="C8" t="s">
        <v>35</v>
      </c>
    </row>
    <row r="9" spans="1:3" x14ac:dyDescent="0.35">
      <c r="A9" s="2" t="s">
        <v>64</v>
      </c>
      <c r="B9" t="s">
        <v>4</v>
      </c>
      <c r="C9" t="s">
        <v>35</v>
      </c>
    </row>
    <row r="10" spans="1:3" x14ac:dyDescent="0.35">
      <c r="A10" s="2" t="s">
        <v>65</v>
      </c>
      <c r="B10" t="s">
        <v>6</v>
      </c>
      <c r="C10" t="s">
        <v>35</v>
      </c>
    </row>
    <row r="11" spans="1:3" x14ac:dyDescent="0.35">
      <c r="A11" s="2" t="s">
        <v>66</v>
      </c>
      <c r="B11" t="s">
        <v>6</v>
      </c>
      <c r="C11" t="s">
        <v>35</v>
      </c>
    </row>
    <row r="12" spans="1:3" x14ac:dyDescent="0.35">
      <c r="A12" s="2" t="s">
        <v>67</v>
      </c>
      <c r="B12" t="s">
        <v>4</v>
      </c>
      <c r="C12" t="s">
        <v>35</v>
      </c>
    </row>
    <row r="13" spans="1:3" ht="29" x14ac:dyDescent="0.35">
      <c r="A13" s="2" t="s">
        <v>68</v>
      </c>
      <c r="B13" t="s">
        <v>5</v>
      </c>
      <c r="C13" t="s">
        <v>35</v>
      </c>
    </row>
    <row r="15" spans="1:3" x14ac:dyDescent="0.35">
      <c r="A15" s="1" t="s">
        <v>43</v>
      </c>
    </row>
    <row r="16" spans="1:3" x14ac:dyDescent="0.35">
      <c r="A16" s="1" t="s">
        <v>44</v>
      </c>
      <c r="B16" s="1" t="s">
        <v>45</v>
      </c>
    </row>
    <row r="17" spans="1:4" x14ac:dyDescent="0.35">
      <c r="A17" t="s">
        <v>69</v>
      </c>
      <c r="B17" s="2" t="s">
        <v>70</v>
      </c>
    </row>
    <row r="18" spans="1:4" x14ac:dyDescent="0.35">
      <c r="A18" t="s">
        <v>71</v>
      </c>
      <c r="B18" s="2" t="s">
        <v>72</v>
      </c>
    </row>
    <row r="19" spans="1:4" x14ac:dyDescent="0.35">
      <c r="A19" t="s">
        <v>73</v>
      </c>
      <c r="B19" s="2" t="s">
        <v>74</v>
      </c>
    </row>
    <row r="20" spans="1:4" x14ac:dyDescent="0.35">
      <c r="A20" t="s">
        <v>75</v>
      </c>
      <c r="B20" s="2" t="s">
        <v>76</v>
      </c>
    </row>
    <row r="22" spans="1:4" x14ac:dyDescent="0.35">
      <c r="A22" s="1" t="s">
        <v>54</v>
      </c>
      <c r="B22" s="2" t="s">
        <v>77</v>
      </c>
    </row>
    <row r="23" spans="1:4" x14ac:dyDescent="0.35">
      <c r="A23" s="1" t="s">
        <v>56</v>
      </c>
      <c r="B23">
        <v>4</v>
      </c>
    </row>
    <row r="24" spans="1:4" x14ac:dyDescent="0.35">
      <c r="A24" s="1" t="s">
        <v>57</v>
      </c>
      <c r="B24">
        <f>SUMPRODUCT(COUNTIF($B$6:$B$13,ResourceLoading!$A$3:$A$7)*ResourceLoading!$B$3:$B$7)</f>
        <v>72</v>
      </c>
      <c r="C24" t="s">
        <v>58</v>
      </c>
      <c r="D24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4.5" x14ac:dyDescent="0.35"/>
  <cols>
    <col min="1" max="2" width="60" customWidth="1"/>
    <col min="3" max="3" width="23" customWidth="1"/>
    <col min="4" max="4" width="12" customWidth="1"/>
  </cols>
  <sheetData>
    <row r="1" spans="1:3" x14ac:dyDescent="0.35">
      <c r="A1" s="1" t="s">
        <v>26</v>
      </c>
      <c r="B1" t="s">
        <v>78</v>
      </c>
    </row>
    <row r="2" spans="1:3" ht="29" x14ac:dyDescent="0.35">
      <c r="A2" s="1" t="s">
        <v>28</v>
      </c>
      <c r="B2" s="2" t="s">
        <v>79</v>
      </c>
    </row>
    <row r="3" spans="1:3" x14ac:dyDescent="0.35">
      <c r="A3" s="1" t="s">
        <v>30</v>
      </c>
      <c r="B3">
        <v>4</v>
      </c>
    </row>
    <row r="5" spans="1:3" x14ac:dyDescent="0.35">
      <c r="A5" s="1" t="s">
        <v>31</v>
      </c>
      <c r="B5" s="1" t="s">
        <v>32</v>
      </c>
      <c r="C5" s="1" t="s">
        <v>33</v>
      </c>
    </row>
    <row r="6" spans="1:3" x14ac:dyDescent="0.35">
      <c r="A6" s="2" t="s">
        <v>80</v>
      </c>
      <c r="B6" t="s">
        <v>5</v>
      </c>
      <c r="C6" t="s">
        <v>35</v>
      </c>
    </row>
    <row r="7" spans="1:3" x14ac:dyDescent="0.35">
      <c r="A7" s="2" t="s">
        <v>81</v>
      </c>
      <c r="B7" t="s">
        <v>5</v>
      </c>
      <c r="C7" t="s">
        <v>35</v>
      </c>
    </row>
    <row r="8" spans="1:3" x14ac:dyDescent="0.35">
      <c r="A8" s="2" t="s">
        <v>82</v>
      </c>
      <c r="B8" t="s">
        <v>5</v>
      </c>
      <c r="C8" t="s">
        <v>35</v>
      </c>
    </row>
    <row r="9" spans="1:3" x14ac:dyDescent="0.35">
      <c r="A9" s="2" t="s">
        <v>83</v>
      </c>
      <c r="B9" t="s">
        <v>4</v>
      </c>
      <c r="C9" t="s">
        <v>35</v>
      </c>
    </row>
    <row r="10" spans="1:3" x14ac:dyDescent="0.35">
      <c r="A10" s="2" t="s">
        <v>84</v>
      </c>
      <c r="B10" t="s">
        <v>4</v>
      </c>
      <c r="C10" t="s">
        <v>35</v>
      </c>
    </row>
    <row r="11" spans="1:3" x14ac:dyDescent="0.35">
      <c r="A11" s="2" t="s">
        <v>85</v>
      </c>
      <c r="B11" t="s">
        <v>4</v>
      </c>
      <c r="C11" t="s">
        <v>35</v>
      </c>
    </row>
    <row r="12" spans="1:3" x14ac:dyDescent="0.35">
      <c r="A12" s="2" t="s">
        <v>86</v>
      </c>
      <c r="B12" t="s">
        <v>4</v>
      </c>
      <c r="C12" t="s">
        <v>35</v>
      </c>
    </row>
    <row r="13" spans="1:3" x14ac:dyDescent="0.35">
      <c r="A13" s="2" t="s">
        <v>87</v>
      </c>
      <c r="B13" t="s">
        <v>4</v>
      </c>
      <c r="C13" t="s">
        <v>35</v>
      </c>
    </row>
    <row r="15" spans="1:3" x14ac:dyDescent="0.35">
      <c r="A15" s="1" t="s">
        <v>43</v>
      </c>
    </row>
    <row r="16" spans="1:3" x14ac:dyDescent="0.35">
      <c r="A16" s="1" t="s">
        <v>44</v>
      </c>
      <c r="B16" s="1" t="s">
        <v>45</v>
      </c>
    </row>
    <row r="17" spans="1:4" x14ac:dyDescent="0.35">
      <c r="A17" t="s">
        <v>88</v>
      </c>
      <c r="B17" s="2" t="s">
        <v>89</v>
      </c>
    </row>
    <row r="18" spans="1:4" x14ac:dyDescent="0.35">
      <c r="A18" t="s">
        <v>90</v>
      </c>
      <c r="B18" s="2" t="s">
        <v>91</v>
      </c>
    </row>
    <row r="19" spans="1:4" x14ac:dyDescent="0.35">
      <c r="A19" t="s">
        <v>92</v>
      </c>
      <c r="B19" s="2" t="s">
        <v>93</v>
      </c>
    </row>
    <row r="20" spans="1:4" x14ac:dyDescent="0.35">
      <c r="A20" t="s">
        <v>94</v>
      </c>
      <c r="B20" s="2" t="s">
        <v>95</v>
      </c>
    </row>
    <row r="22" spans="1:4" x14ac:dyDescent="0.35">
      <c r="A22" s="1" t="s">
        <v>54</v>
      </c>
      <c r="B22" s="2" t="s">
        <v>96</v>
      </c>
    </row>
    <row r="23" spans="1:4" x14ac:dyDescent="0.35">
      <c r="A23" s="1" t="s">
        <v>56</v>
      </c>
      <c r="B23">
        <v>4</v>
      </c>
    </row>
    <row r="24" spans="1:4" x14ac:dyDescent="0.35">
      <c r="A24" s="1" t="s">
        <v>57</v>
      </c>
      <c r="B24">
        <f>SUMPRODUCT(COUNTIF($B$6:$B$13,ResourceLoading!$A$3:$A$7)*ResourceLoading!$B$3:$B$7)</f>
        <v>44</v>
      </c>
      <c r="C24" t="s">
        <v>58</v>
      </c>
      <c r="D24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/>
  </sheetViews>
  <sheetFormatPr defaultRowHeight="14.5" x14ac:dyDescent="0.35"/>
  <cols>
    <col min="1" max="2" width="60" customWidth="1"/>
    <col min="3" max="3" width="23" customWidth="1"/>
    <col min="4" max="4" width="12" customWidth="1"/>
  </cols>
  <sheetData>
    <row r="1" spans="1:3" x14ac:dyDescent="0.35">
      <c r="A1" s="1" t="s">
        <v>26</v>
      </c>
      <c r="B1" t="s">
        <v>97</v>
      </c>
    </row>
    <row r="2" spans="1:3" ht="29" x14ac:dyDescent="0.35">
      <c r="A2" s="1" t="s">
        <v>28</v>
      </c>
      <c r="B2" s="2" t="s">
        <v>98</v>
      </c>
    </row>
    <row r="3" spans="1:3" x14ac:dyDescent="0.35">
      <c r="A3" s="1" t="s">
        <v>30</v>
      </c>
      <c r="B3">
        <v>4</v>
      </c>
    </row>
    <row r="5" spans="1:3" x14ac:dyDescent="0.35">
      <c r="A5" s="1" t="s">
        <v>31</v>
      </c>
      <c r="B5" s="1" t="s">
        <v>32</v>
      </c>
      <c r="C5" s="1" t="s">
        <v>33</v>
      </c>
    </row>
    <row r="6" spans="1:3" x14ac:dyDescent="0.35">
      <c r="A6" s="2" t="s">
        <v>99</v>
      </c>
      <c r="B6" t="s">
        <v>5</v>
      </c>
      <c r="C6" t="s">
        <v>35</v>
      </c>
    </row>
    <row r="7" spans="1:3" x14ac:dyDescent="0.35">
      <c r="A7" s="2" t="s">
        <v>100</v>
      </c>
      <c r="B7" t="s">
        <v>6</v>
      </c>
      <c r="C7" t="s">
        <v>35</v>
      </c>
    </row>
    <row r="8" spans="1:3" x14ac:dyDescent="0.35">
      <c r="A8" s="2" t="s">
        <v>101</v>
      </c>
      <c r="B8" t="s">
        <v>4</v>
      </c>
      <c r="C8" t="s">
        <v>35</v>
      </c>
    </row>
    <row r="9" spans="1:3" x14ac:dyDescent="0.35">
      <c r="A9" s="2" t="s">
        <v>102</v>
      </c>
      <c r="B9" t="s">
        <v>4</v>
      </c>
      <c r="C9" t="s">
        <v>35</v>
      </c>
    </row>
    <row r="10" spans="1:3" x14ac:dyDescent="0.35">
      <c r="A10" s="2" t="s">
        <v>103</v>
      </c>
      <c r="B10" t="s">
        <v>5</v>
      </c>
      <c r="C10" t="s">
        <v>35</v>
      </c>
    </row>
    <row r="11" spans="1:3" x14ac:dyDescent="0.35">
      <c r="A11" s="2" t="s">
        <v>104</v>
      </c>
      <c r="B11" t="s">
        <v>6</v>
      </c>
      <c r="C11" t="s">
        <v>35</v>
      </c>
    </row>
    <row r="12" spans="1:3" x14ac:dyDescent="0.35">
      <c r="A12" s="2" t="s">
        <v>105</v>
      </c>
      <c r="B12" t="s">
        <v>5</v>
      </c>
      <c r="C12" t="s">
        <v>35</v>
      </c>
    </row>
    <row r="13" spans="1:3" x14ac:dyDescent="0.35">
      <c r="A13" s="2" t="s">
        <v>106</v>
      </c>
      <c r="B13" t="s">
        <v>4</v>
      </c>
      <c r="C13" t="s">
        <v>35</v>
      </c>
    </row>
    <row r="15" spans="1:3" x14ac:dyDescent="0.35">
      <c r="A15" s="1" t="s">
        <v>43</v>
      </c>
    </row>
    <row r="16" spans="1:3" x14ac:dyDescent="0.35">
      <c r="A16" s="1" t="s">
        <v>44</v>
      </c>
      <c r="B16" s="1" t="s">
        <v>45</v>
      </c>
    </row>
    <row r="17" spans="1:4" x14ac:dyDescent="0.35">
      <c r="A17" t="s">
        <v>107</v>
      </c>
      <c r="B17" s="2" t="s">
        <v>108</v>
      </c>
    </row>
    <row r="18" spans="1:4" x14ac:dyDescent="0.35">
      <c r="A18" t="s">
        <v>109</v>
      </c>
      <c r="B18" s="2" t="s">
        <v>110</v>
      </c>
    </row>
    <row r="19" spans="1:4" x14ac:dyDescent="0.35">
      <c r="A19" t="s">
        <v>111</v>
      </c>
      <c r="B19" s="2" t="s">
        <v>112</v>
      </c>
    </row>
    <row r="20" spans="1:4" x14ac:dyDescent="0.35">
      <c r="A20" t="s">
        <v>113</v>
      </c>
      <c r="B20" s="2" t="s">
        <v>114</v>
      </c>
    </row>
    <row r="22" spans="1:4" x14ac:dyDescent="0.35">
      <c r="A22" s="1" t="s">
        <v>54</v>
      </c>
      <c r="B22" s="2" t="s">
        <v>115</v>
      </c>
    </row>
    <row r="23" spans="1:4" x14ac:dyDescent="0.35">
      <c r="A23" s="1" t="s">
        <v>56</v>
      </c>
      <c r="B23">
        <v>4</v>
      </c>
    </row>
    <row r="24" spans="1:4" x14ac:dyDescent="0.35">
      <c r="A24" s="1" t="s">
        <v>57</v>
      </c>
      <c r="B24">
        <f>SUMPRODUCT(COUNTIF($B$6:$B$13,ResourceLoading!$A$3:$A$7)*ResourceLoading!$B$3:$B$7)</f>
        <v>68</v>
      </c>
      <c r="C24" t="s">
        <v>58</v>
      </c>
      <c r="D24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ResourceLoading</vt:lpstr>
      <vt:lpstr>User Registration and Authentic</vt:lpstr>
      <vt:lpstr>Class and Schedule Management</vt:lpstr>
      <vt:lpstr>Assignments and Grades</vt:lpstr>
      <vt:lpstr>Notifications and Communication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Madhura Pethe</cp:lastModifiedBy>
  <dcterms:created xsi:type="dcterms:W3CDTF">2025-12-09T07:30:27Z</dcterms:created>
  <dcterms:modified xsi:type="dcterms:W3CDTF">2025-12-09T07:32:49Z</dcterms:modified>
</cp:coreProperties>
</file>