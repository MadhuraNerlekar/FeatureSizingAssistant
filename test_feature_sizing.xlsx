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Loading" sheetId="1" state="visible" r:id="rId1"/>
    <sheet name="Admin Portal" sheetId="2" state="visible" r:id="rId2"/>
    <sheet name="Customer Dashboard" sheetId="3" state="visible" r:id="rId3"/>
    <sheet name="Need Work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4" customWidth="1" min="3" max="3"/>
  </cols>
  <sheetData>
    <row r="1">
      <c r="A1" s="1" t="inlineStr">
        <is>
          <t>T-shirt Sizing to Hours</t>
        </is>
      </c>
    </row>
    <row r="2">
      <c r="A2" s="1" t="inlineStr">
        <is>
          <t>Size</t>
        </is>
      </c>
      <c r="B2" s="1" t="inlineStr">
        <is>
          <t>Hours</t>
        </is>
      </c>
    </row>
    <row r="3">
      <c r="A3" t="inlineStr">
        <is>
          <t>XS</t>
        </is>
      </c>
      <c r="B3" t="n">
        <v>2</v>
      </c>
    </row>
    <row r="4">
      <c r="A4" t="inlineStr">
        <is>
          <t>S</t>
        </is>
      </c>
      <c r="B4" t="n">
        <v>4</v>
      </c>
    </row>
    <row r="5">
      <c r="A5" t="inlineStr">
        <is>
          <t>M</t>
        </is>
      </c>
      <c r="B5" t="n">
        <v>8</v>
      </c>
    </row>
    <row r="6">
      <c r="A6" t="inlineStr">
        <is>
          <t>L</t>
        </is>
      </c>
      <c r="B6" t="n">
        <v>16</v>
      </c>
    </row>
    <row r="7">
      <c r="A7" t="inlineStr">
        <is>
          <t>XL</t>
        </is>
      </c>
      <c r="B7" t="n">
        <v>24</v>
      </c>
    </row>
    <row r="8"/>
    <row r="9">
      <c r="A9" s="1" t="inlineStr">
        <is>
          <t>Total Development Hours</t>
        </is>
      </c>
      <c r="B9">
        <f>SUM('Admin Portal'!B10,'Customer Dashboard'!B10,'Need Workflow'!B10)</f>
        <v/>
      </c>
    </row>
    <row r="10">
      <c r="A10" s="1" t="inlineStr">
        <is>
          <t>QA Hours (40%)</t>
        </is>
      </c>
      <c r="B10">
        <f>$B$9*0.4</f>
        <v/>
      </c>
    </row>
    <row r="11">
      <c r="A11" s="1" t="inlineStr">
        <is>
          <t>PM Hours (15%)</t>
        </is>
      </c>
      <c r="B11">
        <f>$B$9*0.15</f>
        <v/>
      </c>
    </row>
    <row r="12">
      <c r="A12" s="1" t="inlineStr">
        <is>
          <t>Architect Hours (10%)</t>
        </is>
      </c>
      <c r="B12">
        <f>$B$9*0.1</f>
        <v/>
      </c>
    </row>
    <row r="13">
      <c r="A13" s="1" t="inlineStr">
        <is>
          <t>Buffer (20%)</t>
        </is>
      </c>
      <c r="B13">
        <f>$B$9*0.2</f>
        <v/>
      </c>
    </row>
    <row r="14"/>
    <row r="15">
      <c r="A15" s="1" t="inlineStr">
        <is>
          <t>Resource Utilization</t>
        </is>
      </c>
    </row>
    <row r="16">
      <c r="A16" s="1" t="inlineStr">
        <is>
          <t>Role</t>
        </is>
      </c>
      <c r="B16" s="1" t="inlineStr">
        <is>
          <t>Hours</t>
        </is>
      </c>
      <c r="C16" s="1" t="inlineStr">
        <is>
          <t>Resource Days (8h/day)</t>
        </is>
      </c>
    </row>
    <row r="17">
      <c r="A17" t="inlineStr">
        <is>
          <t>Dev</t>
        </is>
      </c>
      <c r="B17">
        <f>$B$9</f>
        <v/>
      </c>
      <c r="C17">
        <f>$B$9/8</f>
        <v/>
      </c>
    </row>
    <row r="18">
      <c r="A18" t="inlineStr">
        <is>
          <t>QA</t>
        </is>
      </c>
      <c r="B18">
        <f>$B$10</f>
        <v/>
      </c>
      <c r="C18">
        <f>$B$10/8</f>
        <v/>
      </c>
    </row>
    <row r="19">
      <c r="A19" t="inlineStr">
        <is>
          <t>PM</t>
        </is>
      </c>
      <c r="B19">
        <f>$B$11</f>
        <v/>
      </c>
      <c r="C19">
        <f>$B$11/8</f>
        <v/>
      </c>
    </row>
    <row r="20">
      <c r="A20" t="inlineStr">
        <is>
          <t>Architect</t>
        </is>
      </c>
      <c r="B20">
        <f>$B$12</f>
        <v/>
      </c>
      <c r="C20">
        <f>$B$12/8</f>
        <v/>
      </c>
    </row>
    <row r="21">
      <c r="A21" t="inlineStr">
        <is>
          <t>Buffer</t>
        </is>
      </c>
      <c r="B21">
        <f>$B$13</f>
        <v/>
      </c>
      <c r="C21">
        <f>$B$13/8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Admin Portal</t>
        </is>
      </c>
    </row>
    <row r="2">
      <c r="A2" s="1" t="inlineStr">
        <is>
          <t>Module Description</t>
        </is>
      </c>
      <c r="B2" s="2" t="inlineStr">
        <is>
          <t>Admin portal to onboard vendors.</t>
        </is>
      </c>
    </row>
    <row r="3">
      <c r="A3" s="1" t="inlineStr">
        <is>
          <t>Number of Screens</t>
        </is>
      </c>
      <c r="B3" t="n">
        <v>1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Admin portal to onboard vendors.</t>
        </is>
      </c>
      <c r="B6" t="inlineStr">
        <is>
          <t>XS</t>
        </is>
      </c>
      <c r="C6" t="inlineStr">
        <is>
          <t>—</t>
        </is>
      </c>
    </row>
    <row r="7"/>
    <row r="8">
      <c r="A8" s="1" t="inlineStr">
        <is>
          <t>Module Summary:</t>
        </is>
      </c>
      <c r="B8" s="2" t="inlineStr">
        <is>
          <t>Admin portal to onboard vendors.</t>
        </is>
      </c>
    </row>
    <row r="9">
      <c r="A9" s="1" t="inlineStr">
        <is>
          <t>Screens:</t>
        </is>
      </c>
      <c r="B9" t="n">
        <v>1</v>
      </c>
    </row>
    <row r="10">
      <c r="A10" s="1" t="inlineStr">
        <is>
          <t>Total Module Hours (calculated):</t>
        </is>
      </c>
      <c r="B10">
        <f>COUNTIF($B$6:$B$6,"XS")*ResourceLoading!$B$2+COUNTIF($B$6:$B$6,"S")*ResourceLoading!$B$3+COUNTIF($B$6:$B$6,"M")*ResourceLoading!$B$4+COUNTIF($B$6:$B$6,"L")*ResourceLoading!$B$5+COUNTIF($B$6:$B$6,"XL")*ResourceLoading!$B$6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Customer Dashboard</t>
        </is>
      </c>
    </row>
    <row r="2">
      <c r="A2" s="1" t="inlineStr">
        <is>
          <t>Module Description</t>
        </is>
      </c>
      <c r="B2" s="2" t="inlineStr">
        <is>
          <t>Customer dashboard to view analytics.</t>
        </is>
      </c>
    </row>
    <row r="3">
      <c r="A3" s="1" t="inlineStr">
        <is>
          <t>Number of Screens</t>
        </is>
      </c>
      <c r="B3" t="n">
        <v>1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Customer dashboard to view analytics.</t>
        </is>
      </c>
      <c r="B6" t="inlineStr">
        <is>
          <t>S</t>
        </is>
      </c>
      <c r="C6" t="inlineStr">
        <is>
          <t>—</t>
        </is>
      </c>
    </row>
    <row r="7"/>
    <row r="8">
      <c r="A8" s="1" t="inlineStr">
        <is>
          <t>Module Summary:</t>
        </is>
      </c>
      <c r="B8" s="2" t="inlineStr">
        <is>
          <t>Customer dashboard to view analytics.</t>
        </is>
      </c>
    </row>
    <row r="9">
      <c r="A9" s="1" t="inlineStr">
        <is>
          <t>Screens:</t>
        </is>
      </c>
      <c r="B9" t="n">
        <v>1</v>
      </c>
    </row>
    <row r="10">
      <c r="A10" s="1" t="inlineStr">
        <is>
          <t>Total Module Hours (calculated):</t>
        </is>
      </c>
      <c r="B10">
        <f>COUNTIF($B$6:$B$6,"XS")*ResourceLoading!$B$2+COUNTIF($B$6:$B$6,"S")*ResourceLoading!$B$3+COUNTIF($B$6:$B$6,"M")*ResourceLoading!$B$4+COUNTIF($B$6:$B$6,"L")*ResourceLoading!$B$5+COUNTIF($B$6:$B$6,"XL")*ResourceLoading!$B$6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Need Workflow</t>
        </is>
      </c>
    </row>
    <row r="2">
      <c r="A2" s="1" t="inlineStr">
        <is>
          <t>Module Description</t>
        </is>
      </c>
      <c r="B2" s="2" t="inlineStr">
        <is>
          <t>Need workflow automation for approvals and integration with ERP APIs.</t>
        </is>
      </c>
    </row>
    <row r="3">
      <c r="A3" s="1" t="inlineStr">
        <is>
          <t>Number of Screens</t>
        </is>
      </c>
      <c r="B3" t="n">
        <v>1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Need workflow automation for approvals and integration with ERP APIs.</t>
        </is>
      </c>
      <c r="B6" t="inlineStr">
        <is>
          <t>L</t>
        </is>
      </c>
      <c r="C6" t="inlineStr">
        <is>
          <t>—</t>
        </is>
      </c>
    </row>
    <row r="7"/>
    <row r="8">
      <c r="A8" s="1" t="inlineStr">
        <is>
          <t>Module Summary:</t>
        </is>
      </c>
      <c r="B8" s="2" t="inlineStr">
        <is>
          <t>Need workflow automation for approvals and integration with ERP APIs.</t>
        </is>
      </c>
    </row>
    <row r="9">
      <c r="A9" s="1" t="inlineStr">
        <is>
          <t>Screens:</t>
        </is>
      </c>
      <c r="B9" t="n">
        <v>1</v>
      </c>
    </row>
    <row r="10">
      <c r="A10" s="1" t="inlineStr">
        <is>
          <t>Total Module Hours (calculated):</t>
        </is>
      </c>
      <c r="B10">
        <f>COUNTIF($B$6:$B$6,"XS")*ResourceLoading!$B$2+COUNTIF($B$6:$B$6,"S")*ResourceLoading!$B$3+COUNTIF($B$6:$B$6,"M")*ResourceLoading!$B$4+COUNTIF($B$6:$B$6,"L")*ResourceLoading!$B$5+COUNTIF($B$6:$B$6,"XL")*ResourceLoading!$B$6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2025-12-01T07:13:28Z</dcterms:created>
  <dcterms:modified xsi:type="dcterms:W3CDTF">2025-12-01T07:13:28Z</dcterms:modified>
</cp:coreProperties>
</file>