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cubxpertstechno-my.sharepoint.com/personal/madhurap_incubxperts_com/Documents/Documents/IX/My own AI project/Feature sizing assistant/"/>
    </mc:Choice>
  </mc:AlternateContent>
  <xr:revisionPtr revIDLastSave="1" documentId="11_06AACB663075BC2BA480813AF8DBFBB6DFD5BF15" xr6:coauthVersionLast="47" xr6:coauthVersionMax="47" xr10:uidLastSave="{FD7F0895-F3DD-4A1E-89A0-7F88F4850CB4}"/>
  <bookViews>
    <workbookView xWindow="-110" yWindow="-110" windowWidth="19420" windowHeight="10300" xr2:uid="{00000000-000D-0000-FFFF-FFFF00000000}"/>
  </bookViews>
  <sheets>
    <sheet name="ResourceLoading" sheetId="1" r:id="rId1"/>
    <sheet name="Inventory Management" sheetId="2" r:id="rId2"/>
    <sheet name="Recipe and Menu Management" sheetId="3" r:id="rId3"/>
    <sheet name="Order and Waste Tracking" sheetId="4" r:id="rId4"/>
    <sheet name="User and Role Manage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" l="1"/>
  <c r="B24" i="4"/>
  <c r="B25" i="3"/>
  <c r="B26" i="2"/>
  <c r="B10" i="1" s="1"/>
  <c r="C19" i="1" l="1"/>
  <c r="B19" i="1"/>
  <c r="B14" i="1"/>
  <c r="B13" i="1"/>
  <c r="B11" i="1"/>
  <c r="B12" i="1"/>
  <c r="B21" i="1" l="1"/>
  <c r="C21" i="1"/>
  <c r="C22" i="1"/>
  <c r="B22" i="1"/>
  <c r="C20" i="1"/>
  <c r="B20" i="1"/>
  <c r="C23" i="1"/>
  <c r="B23" i="1"/>
</calcChain>
</file>

<file path=xl/sharedStrings.xml><?xml version="1.0" encoding="utf-8"?>
<sst xmlns="http://schemas.openxmlformats.org/spreadsheetml/2006/main" count="222" uniqueCount="117">
  <si>
    <t>T-shirt Sizing to Hours</t>
  </si>
  <si>
    <t>Size</t>
  </si>
  <si>
    <t>Hours (editable)</t>
  </si>
  <si>
    <t>XS</t>
  </si>
  <si>
    <t>S</t>
  </si>
  <si>
    <t>M</t>
  </si>
  <si>
    <t>L</t>
  </si>
  <si>
    <t>XL</t>
  </si>
  <si>
    <t>Effort Allocation</t>
  </si>
  <si>
    <t>Ratio (editable)</t>
  </si>
  <si>
    <t>Dev Hours</t>
  </si>
  <si>
    <t>QA Hours</t>
  </si>
  <si>
    <t>PM Hours</t>
  </si>
  <si>
    <t>Architect Hours</t>
  </si>
  <si>
    <t>Buffer Hours</t>
  </si>
  <si>
    <t>Hours per Resource Day</t>
  </si>
  <si>
    <t>Resource Utilization</t>
  </si>
  <si>
    <t>Role</t>
  </si>
  <si>
    <t>Hours</t>
  </si>
  <si>
    <t>Resource Days</t>
  </si>
  <si>
    <t>Dev</t>
  </si>
  <si>
    <t>QA</t>
  </si>
  <si>
    <t>PM</t>
  </si>
  <si>
    <t>Architect</t>
  </si>
  <si>
    <t>Buffer</t>
  </si>
  <si>
    <t>Module Name</t>
  </si>
  <si>
    <t>Inventory Management</t>
  </si>
  <si>
    <t>Module Description</t>
  </si>
  <si>
    <t>Manage kitchen ingredients and supply stock levels.</t>
  </si>
  <si>
    <t>Number of Screens</t>
  </si>
  <si>
    <t>Requirement</t>
  </si>
  <si>
    <t>Size (XS/S/M/L/XL)</t>
  </si>
  <si>
    <t>Notes</t>
  </si>
  <si>
    <t>Add new ingredient to inventory</t>
  </si>
  <si>
    <t>—</t>
  </si>
  <si>
    <t>Edit ingredient details including quantity and expiry</t>
  </si>
  <si>
    <t>Delete obsolete ingredients from inventory</t>
  </si>
  <si>
    <t>View current stock levels in dashboard</t>
  </si>
  <si>
    <t>Set reorder threshold per ingredient</t>
  </si>
  <si>
    <t>Receive alerts when stock goes below threshold</t>
  </si>
  <si>
    <t>Manage supplier profiles with contacts and notes</t>
  </si>
  <si>
    <t>Link ingredients to suppliers</t>
  </si>
  <si>
    <t>Generate purchase order suggestions based on low stock</t>
  </si>
  <si>
    <t>Export inventory reports to CSV</t>
  </si>
  <si>
    <t>Screens</t>
  </si>
  <si>
    <t>Screen Title</t>
  </si>
  <si>
    <t>Description</t>
  </si>
  <si>
    <t>Inventory Dashboard</t>
  </si>
  <si>
    <t>Overview of current stock levels and alerts.</t>
  </si>
  <si>
    <t>Ingredient List</t>
  </si>
  <si>
    <t>Detailed list of all ingredients with quantities and expiry.</t>
  </si>
  <si>
    <t>Supplier Management</t>
  </si>
  <si>
    <t>Manage supplier contacts and purchase history.</t>
  </si>
  <si>
    <t>Stock Alert Settings</t>
  </si>
  <si>
    <t>Configure threshold alerts for low stock.</t>
  </si>
  <si>
    <t>Module Summary:</t>
  </si>
  <si>
    <t>Tracks all ingredients, stock levels, suppliers, and alerts for replenishment.</t>
  </si>
  <si>
    <t>Screens:</t>
  </si>
  <si>
    <t>Total Module Hours (calculated):</t>
  </si>
  <si>
    <t>Recipe and Menu Management</t>
  </si>
  <si>
    <t>Create and manage recipes and link them with inventory usage.</t>
  </si>
  <si>
    <t>Create new recipes with ingredient quantities</t>
  </si>
  <si>
    <t>Edit existing recipes and instructions</t>
  </si>
  <si>
    <t>Delete outdated recipes</t>
  </si>
  <si>
    <t>Search recipes by name or ingredient</t>
  </si>
  <si>
    <t>Build daily or weekly menus from selected recipes</t>
  </si>
  <si>
    <t>Calculate total ingredient needs from menus</t>
  </si>
  <si>
    <t>View recipe impact on inventory stock</t>
  </si>
  <si>
    <t>Import/export recipe data</t>
  </si>
  <si>
    <t>Tag recipes by category or dietary restrictions</t>
  </si>
  <si>
    <t>Recipe List</t>
  </si>
  <si>
    <t>View and search all kitchen recipes.</t>
  </si>
  <si>
    <t>Recipe Details</t>
  </si>
  <si>
    <t>Create or edit detailed recipe steps and ingredients.</t>
  </si>
  <si>
    <t>Menu Builder</t>
  </si>
  <si>
    <t>Assemble daily or weekly menus from recipes.</t>
  </si>
  <si>
    <t>Recipe Inventory Impact</t>
  </si>
  <si>
    <t>View ingredient usage and stock impacts per recipe.</t>
  </si>
  <si>
    <t>Organizes recipes, calculates ingredient requirements, and builds menus dynamically.</t>
  </si>
  <si>
    <t>Order and Waste Tracking</t>
  </si>
  <si>
    <t>Track ingredient orders and record kitchen waste to optimize usage.</t>
  </si>
  <si>
    <t>Create and send purchase orders to suppliers</t>
  </si>
  <si>
    <t>Update order statuses (pending, received, cancelled)</t>
  </si>
  <si>
    <t>View detailed order history with filters</t>
  </si>
  <si>
    <t>Record waste incidents with ingredient and quantity</t>
  </si>
  <si>
    <t>Categorize waste reasons (spoilage, overprep, etc.)</t>
  </si>
  <si>
    <t>Generate waste reports by ingredient and time period</t>
  </si>
  <si>
    <t>Export waste logs for audit purposes</t>
  </si>
  <si>
    <t>Receive alerts for unusual waste patterns</t>
  </si>
  <si>
    <t>Order Management</t>
  </si>
  <si>
    <t>Place and review orders with suppliers.</t>
  </si>
  <si>
    <t>Order History</t>
  </si>
  <si>
    <t>View past orders and statuses.</t>
  </si>
  <si>
    <t>Waste Log</t>
  </si>
  <si>
    <t>Record and categorize wasted ingredients.</t>
  </si>
  <si>
    <t>Waste Reports</t>
  </si>
  <si>
    <t>Analyze waste trends and identify optimization opportunities.</t>
  </si>
  <si>
    <t>Manages purchase orders, order history and documents food wastage for reporting.</t>
  </si>
  <si>
    <t>User and Role Management</t>
  </si>
  <si>
    <t>Control access and permissions for kitchen staff and suppliers.</t>
  </si>
  <si>
    <t>Add new users with role assignments</t>
  </si>
  <si>
    <t>Edit user details and reset passwords</t>
  </si>
  <si>
    <t>Deactivate/reactivate user accounts</t>
  </si>
  <si>
    <t>Create and edit user roles with granular permissions</t>
  </si>
  <si>
    <t>Assign roles to users</t>
  </si>
  <si>
    <t>Track and display user login and activity logs</t>
  </si>
  <si>
    <t>Enforce password complexity rules</t>
  </si>
  <si>
    <t>Support multi-factor authentication setup</t>
  </si>
  <si>
    <t>User List</t>
  </si>
  <si>
    <t>View and manage all system users.</t>
  </si>
  <si>
    <t>Role Definition</t>
  </si>
  <si>
    <t>Create and assign user roles and permissions.</t>
  </si>
  <si>
    <t>Access Logs</t>
  </si>
  <si>
    <t>Monitor user access and activity.</t>
  </si>
  <si>
    <t>User Profile</t>
  </si>
  <si>
    <t>View and edit individual user details and settings.</t>
  </si>
  <si>
    <t>Manages users, roles and authorizations to ensure secure and proper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</si>
</sst>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17" sqref="B17"/>
    </sheetView>
  </sheetViews>
  <sheetFormatPr defaultRowHeight="14.5" x14ac:dyDescent="0.35"/>
  <cols>
    <col min="1" max="1" width="25" customWidth="1"/>
    <col min="2" max="2" width="60" customWidth="1"/>
    <col min="3" max="3" width="18" customWidth="1"/>
  </cols>
  <sheetData>
    <row r="1" spans="1:3" x14ac:dyDescent="0.35">
      <c r="A1" s="1" t="s">
        <v>0</v>
      </c>
    </row>
    <row r="2" spans="1:3" x14ac:dyDescent="0.35">
      <c r="A2" s="1" t="s">
        <v>1</v>
      </c>
      <c r="B2" s="1" t="s">
        <v>2</v>
      </c>
    </row>
    <row r="3" spans="1:3" x14ac:dyDescent="0.35">
      <c r="A3" t="s">
        <v>3</v>
      </c>
      <c r="B3">
        <v>2</v>
      </c>
    </row>
    <row r="4" spans="1:3" x14ac:dyDescent="0.35">
      <c r="A4" t="s">
        <v>4</v>
      </c>
      <c r="B4">
        <v>4</v>
      </c>
    </row>
    <row r="5" spans="1:3" x14ac:dyDescent="0.35">
      <c r="A5" t="s">
        <v>5</v>
      </c>
      <c r="B5">
        <v>8</v>
      </c>
    </row>
    <row r="6" spans="1:3" x14ac:dyDescent="0.35">
      <c r="A6" t="s">
        <v>6</v>
      </c>
      <c r="B6">
        <v>16</v>
      </c>
    </row>
    <row r="7" spans="1:3" x14ac:dyDescent="0.35">
      <c r="A7" t="s">
        <v>7</v>
      </c>
      <c r="B7">
        <v>24</v>
      </c>
    </row>
    <row r="9" spans="1:3" x14ac:dyDescent="0.35">
      <c r="A9" s="1" t="s">
        <v>8</v>
      </c>
      <c r="C9" s="1" t="s">
        <v>9</v>
      </c>
    </row>
    <row r="10" spans="1:3" x14ac:dyDescent="0.35">
      <c r="A10" s="1" t="s">
        <v>10</v>
      </c>
      <c r="B10">
        <f>SUM('Inventory Management'!B26,'Recipe and Menu Management'!B25,'Order and Waste Tracking'!B24,'User and Role Management'!B24)</f>
        <v>258</v>
      </c>
    </row>
    <row r="11" spans="1:3" x14ac:dyDescent="0.35">
      <c r="A11" s="1" t="s">
        <v>11</v>
      </c>
      <c r="B11">
        <f>$B$10*$C11</f>
        <v>103.2</v>
      </c>
      <c r="C11">
        <v>0.4</v>
      </c>
    </row>
    <row r="12" spans="1:3" x14ac:dyDescent="0.35">
      <c r="A12" s="1" t="s">
        <v>12</v>
      </c>
      <c r="B12">
        <f>$B$10*$C12</f>
        <v>38.699999999999996</v>
      </c>
      <c r="C12">
        <v>0.15</v>
      </c>
    </row>
    <row r="13" spans="1:3" x14ac:dyDescent="0.35">
      <c r="A13" s="1" t="s">
        <v>13</v>
      </c>
      <c r="B13">
        <f>$B$10*$C13</f>
        <v>25.8</v>
      </c>
      <c r="C13">
        <v>0.1</v>
      </c>
    </row>
    <row r="14" spans="1:3" x14ac:dyDescent="0.35">
      <c r="A14" s="1" t="s">
        <v>14</v>
      </c>
      <c r="B14">
        <f>$B$10*$C14</f>
        <v>51.6</v>
      </c>
      <c r="C14">
        <v>0.2</v>
      </c>
    </row>
    <row r="16" spans="1:3" x14ac:dyDescent="0.35">
      <c r="A16" s="1" t="s">
        <v>15</v>
      </c>
      <c r="B16">
        <v>6</v>
      </c>
    </row>
    <row r="17" spans="1:3" x14ac:dyDescent="0.35">
      <c r="A17" s="1" t="s">
        <v>16</v>
      </c>
    </row>
    <row r="18" spans="1:3" x14ac:dyDescent="0.35">
      <c r="A18" s="1" t="s">
        <v>17</v>
      </c>
      <c r="B18" s="1" t="s">
        <v>18</v>
      </c>
      <c r="C18" s="1" t="s">
        <v>19</v>
      </c>
    </row>
    <row r="19" spans="1:3" x14ac:dyDescent="0.35">
      <c r="A19" t="s">
        <v>20</v>
      </c>
      <c r="B19">
        <f>$B$10</f>
        <v>258</v>
      </c>
      <c r="C19">
        <f>$B$10/$B$16</f>
        <v>43</v>
      </c>
    </row>
    <row r="20" spans="1:3" x14ac:dyDescent="0.35">
      <c r="A20" t="s">
        <v>21</v>
      </c>
      <c r="B20">
        <f>$B$11</f>
        <v>103.2</v>
      </c>
      <c r="C20">
        <f>$B$11/$B$16</f>
        <v>17.2</v>
      </c>
    </row>
    <row r="21" spans="1:3" x14ac:dyDescent="0.35">
      <c r="A21" t="s">
        <v>22</v>
      </c>
      <c r="B21">
        <f>$B$12</f>
        <v>38.699999999999996</v>
      </c>
      <c r="C21">
        <f>$B$12/$B$16</f>
        <v>6.4499999999999993</v>
      </c>
    </row>
    <row r="22" spans="1:3" x14ac:dyDescent="0.35">
      <c r="A22" t="s">
        <v>23</v>
      </c>
      <c r="B22">
        <f>$B$13</f>
        <v>25.8</v>
      </c>
      <c r="C22">
        <f>$B$13/$B$16</f>
        <v>4.3</v>
      </c>
    </row>
    <row r="23" spans="1:3" x14ac:dyDescent="0.35">
      <c r="A23" t="s">
        <v>24</v>
      </c>
      <c r="B23">
        <f>$B$14</f>
        <v>51.6</v>
      </c>
      <c r="C23">
        <f>$B$14/$B$16</f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opLeftCell="A10" workbookViewId="0">
      <selection activeCell="A12" sqref="A12"/>
    </sheetView>
  </sheetViews>
  <sheetFormatPr defaultRowHeight="14.5" x14ac:dyDescent="0.35"/>
  <cols>
    <col min="1" max="1" width="56" customWidth="1"/>
    <col min="2" max="2" width="60" customWidth="1"/>
    <col min="3" max="3" width="12" customWidth="1"/>
  </cols>
  <sheetData>
    <row r="1" spans="1:3" x14ac:dyDescent="0.35">
      <c r="A1" s="1" t="s">
        <v>25</v>
      </c>
      <c r="B1" t="s">
        <v>26</v>
      </c>
    </row>
    <row r="2" spans="1:3" x14ac:dyDescent="0.35">
      <c r="A2" s="1" t="s">
        <v>27</v>
      </c>
      <c r="B2" s="2" t="s">
        <v>28</v>
      </c>
    </row>
    <row r="3" spans="1:3" x14ac:dyDescent="0.35">
      <c r="A3" s="1" t="s">
        <v>29</v>
      </c>
      <c r="B3">
        <v>4</v>
      </c>
    </row>
    <row r="5" spans="1:3" x14ac:dyDescent="0.35">
      <c r="A5" s="1" t="s">
        <v>30</v>
      </c>
      <c r="B5" s="1" t="s">
        <v>31</v>
      </c>
      <c r="C5" s="1" t="s">
        <v>32</v>
      </c>
    </row>
    <row r="6" spans="1:3" x14ac:dyDescent="0.35">
      <c r="A6" s="2" t="s">
        <v>33</v>
      </c>
      <c r="B6" t="s">
        <v>4</v>
      </c>
      <c r="C6" t="s">
        <v>34</v>
      </c>
    </row>
    <row r="7" spans="1:3" x14ac:dyDescent="0.35">
      <c r="A7" s="2" t="s">
        <v>35</v>
      </c>
      <c r="B7" t="s">
        <v>5</v>
      </c>
      <c r="C7" t="s">
        <v>34</v>
      </c>
    </row>
    <row r="8" spans="1:3" x14ac:dyDescent="0.35">
      <c r="A8" s="2" t="s">
        <v>36</v>
      </c>
      <c r="B8" t="s">
        <v>4</v>
      </c>
      <c r="C8" t="s">
        <v>34</v>
      </c>
    </row>
    <row r="9" spans="1:3" x14ac:dyDescent="0.35">
      <c r="A9" s="2" t="s">
        <v>37</v>
      </c>
      <c r="B9" t="s">
        <v>4</v>
      </c>
      <c r="C9" t="s">
        <v>34</v>
      </c>
    </row>
    <row r="10" spans="1:3" x14ac:dyDescent="0.35">
      <c r="A10" s="2" t="s">
        <v>38</v>
      </c>
      <c r="B10" t="s">
        <v>5</v>
      </c>
      <c r="C10" t="s">
        <v>34</v>
      </c>
    </row>
    <row r="11" spans="1:3" x14ac:dyDescent="0.35">
      <c r="A11" s="2" t="s">
        <v>39</v>
      </c>
      <c r="B11" t="s">
        <v>5</v>
      </c>
      <c r="C11" t="s">
        <v>34</v>
      </c>
    </row>
    <row r="12" spans="1:3" x14ac:dyDescent="0.35">
      <c r="A12" s="2" t="s">
        <v>40</v>
      </c>
      <c r="B12" t="s">
        <v>5</v>
      </c>
      <c r="C12" t="s">
        <v>34</v>
      </c>
    </row>
    <row r="13" spans="1:3" x14ac:dyDescent="0.35">
      <c r="A13" s="2" t="s">
        <v>41</v>
      </c>
      <c r="B13" t="s">
        <v>5</v>
      </c>
      <c r="C13" t="s">
        <v>34</v>
      </c>
    </row>
    <row r="14" spans="1:3" x14ac:dyDescent="0.35">
      <c r="A14" s="2" t="s">
        <v>42</v>
      </c>
      <c r="B14" t="s">
        <v>6</v>
      </c>
      <c r="C14" t="s">
        <v>34</v>
      </c>
    </row>
    <row r="15" spans="1:3" x14ac:dyDescent="0.35">
      <c r="A15" s="2" t="s">
        <v>43</v>
      </c>
      <c r="B15" t="s">
        <v>4</v>
      </c>
      <c r="C15" t="s">
        <v>34</v>
      </c>
    </row>
    <row r="17" spans="1:2" x14ac:dyDescent="0.35">
      <c r="A17" s="1" t="s">
        <v>44</v>
      </c>
    </row>
    <row r="18" spans="1:2" x14ac:dyDescent="0.35">
      <c r="A18" s="1" t="s">
        <v>45</v>
      </c>
      <c r="B18" s="1" t="s">
        <v>46</v>
      </c>
    </row>
    <row r="19" spans="1:2" x14ac:dyDescent="0.35">
      <c r="A19" t="s">
        <v>47</v>
      </c>
      <c r="B19" s="2" t="s">
        <v>48</v>
      </c>
    </row>
    <row r="20" spans="1:2" x14ac:dyDescent="0.35">
      <c r="A20" t="s">
        <v>49</v>
      </c>
      <c r="B20" s="2" t="s">
        <v>50</v>
      </c>
    </row>
    <row r="21" spans="1:2" x14ac:dyDescent="0.35">
      <c r="A21" t="s">
        <v>51</v>
      </c>
      <c r="B21" s="2" t="s">
        <v>52</v>
      </c>
    </row>
    <row r="22" spans="1:2" x14ac:dyDescent="0.35">
      <c r="A22" t="s">
        <v>53</v>
      </c>
      <c r="B22" s="2" t="s">
        <v>54</v>
      </c>
    </row>
    <row r="24" spans="1:2" ht="29" x14ac:dyDescent="0.35">
      <c r="A24" s="1" t="s">
        <v>55</v>
      </c>
      <c r="B24" s="2" t="s">
        <v>56</v>
      </c>
    </row>
    <row r="25" spans="1:2" x14ac:dyDescent="0.35">
      <c r="A25" s="1" t="s">
        <v>57</v>
      </c>
      <c r="B25">
        <v>4</v>
      </c>
    </row>
    <row r="26" spans="1:2" x14ac:dyDescent="0.35">
      <c r="A26" s="1" t="s">
        <v>58</v>
      </c>
      <c r="B26">
        <f>SUMPRODUCT(COUNTIF($B$6:$B$15,ResourceLoading!$A$3:$A$7),ResourceLoading!$B$3:$B$7)</f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defaultRowHeight="14.5" x14ac:dyDescent="0.35"/>
  <cols>
    <col min="1" max="1" width="51" customWidth="1"/>
    <col min="2" max="2" width="60" customWidth="1"/>
    <col min="3" max="3" width="12" customWidth="1"/>
  </cols>
  <sheetData>
    <row r="1" spans="1:3" x14ac:dyDescent="0.35">
      <c r="A1" s="1" t="s">
        <v>25</v>
      </c>
      <c r="B1" t="s">
        <v>59</v>
      </c>
    </row>
    <row r="2" spans="1:3" x14ac:dyDescent="0.35">
      <c r="A2" s="1" t="s">
        <v>27</v>
      </c>
      <c r="B2" s="2" t="s">
        <v>60</v>
      </c>
    </row>
    <row r="3" spans="1:3" x14ac:dyDescent="0.35">
      <c r="A3" s="1" t="s">
        <v>29</v>
      </c>
      <c r="B3">
        <v>4</v>
      </c>
    </row>
    <row r="5" spans="1:3" x14ac:dyDescent="0.35">
      <c r="A5" s="1" t="s">
        <v>30</v>
      </c>
      <c r="B5" s="1" t="s">
        <v>31</v>
      </c>
      <c r="C5" s="1" t="s">
        <v>32</v>
      </c>
    </row>
    <row r="6" spans="1:3" x14ac:dyDescent="0.35">
      <c r="A6" s="2" t="s">
        <v>61</v>
      </c>
      <c r="B6" t="s">
        <v>5</v>
      </c>
      <c r="C6" t="s">
        <v>34</v>
      </c>
    </row>
    <row r="7" spans="1:3" x14ac:dyDescent="0.35">
      <c r="A7" s="2" t="s">
        <v>62</v>
      </c>
      <c r="B7" t="s">
        <v>5</v>
      </c>
      <c r="C7" t="s">
        <v>34</v>
      </c>
    </row>
    <row r="8" spans="1:3" x14ac:dyDescent="0.35">
      <c r="A8" s="2" t="s">
        <v>63</v>
      </c>
      <c r="B8" t="s">
        <v>4</v>
      </c>
      <c r="C8" t="s">
        <v>34</v>
      </c>
    </row>
    <row r="9" spans="1:3" x14ac:dyDescent="0.35">
      <c r="A9" s="2" t="s">
        <v>64</v>
      </c>
      <c r="B9" t="s">
        <v>4</v>
      </c>
      <c r="C9" t="s">
        <v>34</v>
      </c>
    </row>
    <row r="10" spans="1:3" x14ac:dyDescent="0.35">
      <c r="A10" s="2" t="s">
        <v>65</v>
      </c>
      <c r="B10" t="s">
        <v>5</v>
      </c>
      <c r="C10" t="s">
        <v>34</v>
      </c>
    </row>
    <row r="11" spans="1:3" x14ac:dyDescent="0.35">
      <c r="A11" s="2" t="s">
        <v>66</v>
      </c>
      <c r="B11" t="s">
        <v>6</v>
      </c>
      <c r="C11" t="s">
        <v>34</v>
      </c>
    </row>
    <row r="12" spans="1:3" x14ac:dyDescent="0.35">
      <c r="A12" s="2" t="s">
        <v>67</v>
      </c>
      <c r="B12" t="s">
        <v>5</v>
      </c>
      <c r="C12" t="s">
        <v>34</v>
      </c>
    </row>
    <row r="13" spans="1:3" x14ac:dyDescent="0.35">
      <c r="A13" s="2" t="s">
        <v>68</v>
      </c>
      <c r="B13" t="s">
        <v>4</v>
      </c>
      <c r="C13" t="s">
        <v>34</v>
      </c>
    </row>
    <row r="14" spans="1:3" x14ac:dyDescent="0.35">
      <c r="A14" s="2" t="s">
        <v>69</v>
      </c>
      <c r="B14" t="s">
        <v>4</v>
      </c>
      <c r="C14" t="s">
        <v>34</v>
      </c>
    </row>
    <row r="16" spans="1:3" x14ac:dyDescent="0.35">
      <c r="A16" s="1" t="s">
        <v>44</v>
      </c>
    </row>
    <row r="17" spans="1:2" x14ac:dyDescent="0.35">
      <c r="A17" s="1" t="s">
        <v>45</v>
      </c>
      <c r="B17" s="1" t="s">
        <v>46</v>
      </c>
    </row>
    <row r="18" spans="1:2" x14ac:dyDescent="0.35">
      <c r="A18" t="s">
        <v>70</v>
      </c>
      <c r="B18" s="2" t="s">
        <v>71</v>
      </c>
    </row>
    <row r="19" spans="1:2" x14ac:dyDescent="0.35">
      <c r="A19" t="s">
        <v>72</v>
      </c>
      <c r="B19" s="2" t="s">
        <v>73</v>
      </c>
    </row>
    <row r="20" spans="1:2" x14ac:dyDescent="0.35">
      <c r="A20" t="s">
        <v>74</v>
      </c>
      <c r="B20" s="2" t="s">
        <v>75</v>
      </c>
    </row>
    <row r="21" spans="1:2" x14ac:dyDescent="0.35">
      <c r="A21" t="s">
        <v>76</v>
      </c>
      <c r="B21" s="2" t="s">
        <v>77</v>
      </c>
    </row>
    <row r="23" spans="1:2" ht="29" x14ac:dyDescent="0.35">
      <c r="A23" s="1" t="s">
        <v>55</v>
      </c>
      <c r="B23" s="2" t="s">
        <v>78</v>
      </c>
    </row>
    <row r="24" spans="1:2" x14ac:dyDescent="0.35">
      <c r="A24" s="1" t="s">
        <v>57</v>
      </c>
      <c r="B24">
        <v>4</v>
      </c>
    </row>
    <row r="25" spans="1:2" x14ac:dyDescent="0.35">
      <c r="A25" s="1" t="s">
        <v>58</v>
      </c>
      <c r="B25">
        <f>SUMPRODUCT(COUNTIF($B$6:$B$14,ResourceLoading!$A$3:$A$7),ResourceLoading!$B$3:$B$7)</f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/>
  </sheetViews>
  <sheetFormatPr defaultRowHeight="14.5" x14ac:dyDescent="0.35"/>
  <cols>
    <col min="1" max="1" width="54" customWidth="1"/>
    <col min="2" max="2" width="60" customWidth="1"/>
    <col min="3" max="3" width="12" customWidth="1"/>
  </cols>
  <sheetData>
    <row r="1" spans="1:3" x14ac:dyDescent="0.35">
      <c r="A1" s="1" t="s">
        <v>25</v>
      </c>
      <c r="B1" t="s">
        <v>79</v>
      </c>
    </row>
    <row r="2" spans="1:3" x14ac:dyDescent="0.35">
      <c r="A2" s="1" t="s">
        <v>27</v>
      </c>
      <c r="B2" s="2" t="s">
        <v>80</v>
      </c>
    </row>
    <row r="3" spans="1:3" x14ac:dyDescent="0.35">
      <c r="A3" s="1" t="s">
        <v>29</v>
      </c>
      <c r="B3">
        <v>4</v>
      </c>
    </row>
    <row r="5" spans="1:3" x14ac:dyDescent="0.35">
      <c r="A5" s="1" t="s">
        <v>30</v>
      </c>
      <c r="B5" s="1" t="s">
        <v>31</v>
      </c>
      <c r="C5" s="1" t="s">
        <v>32</v>
      </c>
    </row>
    <row r="6" spans="1:3" x14ac:dyDescent="0.35">
      <c r="A6" s="2" t="s">
        <v>81</v>
      </c>
      <c r="B6" t="s">
        <v>6</v>
      </c>
      <c r="C6" t="s">
        <v>34</v>
      </c>
    </row>
    <row r="7" spans="1:3" x14ac:dyDescent="0.35">
      <c r="A7" s="2" t="s">
        <v>82</v>
      </c>
      <c r="B7" t="s">
        <v>5</v>
      </c>
      <c r="C7" t="s">
        <v>34</v>
      </c>
    </row>
    <row r="8" spans="1:3" x14ac:dyDescent="0.35">
      <c r="A8" s="2" t="s">
        <v>83</v>
      </c>
      <c r="B8" t="s">
        <v>5</v>
      </c>
      <c r="C8" t="s">
        <v>34</v>
      </c>
    </row>
    <row r="9" spans="1:3" x14ac:dyDescent="0.35">
      <c r="A9" s="2" t="s">
        <v>84</v>
      </c>
      <c r="B9" t="s">
        <v>5</v>
      </c>
      <c r="C9" t="s">
        <v>34</v>
      </c>
    </row>
    <row r="10" spans="1:3" x14ac:dyDescent="0.35">
      <c r="A10" s="2" t="s">
        <v>85</v>
      </c>
      <c r="B10" t="s">
        <v>4</v>
      </c>
      <c r="C10" t="s">
        <v>34</v>
      </c>
    </row>
    <row r="11" spans="1:3" x14ac:dyDescent="0.35">
      <c r="A11" s="2" t="s">
        <v>86</v>
      </c>
      <c r="B11" t="s">
        <v>6</v>
      </c>
      <c r="C11" t="s">
        <v>34</v>
      </c>
    </row>
    <row r="12" spans="1:3" x14ac:dyDescent="0.35">
      <c r="A12" s="2" t="s">
        <v>87</v>
      </c>
      <c r="B12" t="s">
        <v>4</v>
      </c>
      <c r="C12" t="s">
        <v>34</v>
      </c>
    </row>
    <row r="13" spans="1:3" x14ac:dyDescent="0.35">
      <c r="A13" s="2" t="s">
        <v>88</v>
      </c>
      <c r="B13" t="s">
        <v>5</v>
      </c>
      <c r="C13" t="s">
        <v>34</v>
      </c>
    </row>
    <row r="15" spans="1:3" x14ac:dyDescent="0.35">
      <c r="A15" s="1" t="s">
        <v>44</v>
      </c>
    </row>
    <row r="16" spans="1:3" x14ac:dyDescent="0.35">
      <c r="A16" s="1" t="s">
        <v>45</v>
      </c>
      <c r="B16" s="1" t="s">
        <v>46</v>
      </c>
    </row>
    <row r="17" spans="1:2" x14ac:dyDescent="0.35">
      <c r="A17" t="s">
        <v>89</v>
      </c>
      <c r="B17" s="2" t="s">
        <v>90</v>
      </c>
    </row>
    <row r="18" spans="1:2" x14ac:dyDescent="0.35">
      <c r="A18" t="s">
        <v>91</v>
      </c>
      <c r="B18" s="2" t="s">
        <v>92</v>
      </c>
    </row>
    <row r="19" spans="1:2" x14ac:dyDescent="0.35">
      <c r="A19" t="s">
        <v>93</v>
      </c>
      <c r="B19" s="2" t="s">
        <v>94</v>
      </c>
    </row>
    <row r="20" spans="1:2" x14ac:dyDescent="0.35">
      <c r="A20" t="s">
        <v>95</v>
      </c>
      <c r="B20" s="2" t="s">
        <v>96</v>
      </c>
    </row>
    <row r="22" spans="1:2" ht="29" x14ac:dyDescent="0.35">
      <c r="A22" s="1" t="s">
        <v>55</v>
      </c>
      <c r="B22" s="2" t="s">
        <v>97</v>
      </c>
    </row>
    <row r="23" spans="1:2" x14ac:dyDescent="0.35">
      <c r="A23" s="1" t="s">
        <v>57</v>
      </c>
      <c r="B23">
        <v>4</v>
      </c>
    </row>
    <row r="24" spans="1:2" x14ac:dyDescent="0.35">
      <c r="A24" s="1" t="s">
        <v>58</v>
      </c>
      <c r="B24">
        <f>SUMPRODUCT(COUNTIF($B$6:$B$13,ResourceLoading!$A$3:$A$7),ResourceLoading!$B$3:$B$7)</f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defaultRowHeight="14.5" x14ac:dyDescent="0.35"/>
  <cols>
    <col min="1" max="1" width="54" customWidth="1"/>
    <col min="2" max="2" width="60" customWidth="1"/>
    <col min="3" max="3" width="12" customWidth="1"/>
  </cols>
  <sheetData>
    <row r="1" spans="1:3" x14ac:dyDescent="0.35">
      <c r="A1" s="1" t="s">
        <v>25</v>
      </c>
      <c r="B1" t="s">
        <v>98</v>
      </c>
    </row>
    <row r="2" spans="1:3" x14ac:dyDescent="0.35">
      <c r="A2" s="1" t="s">
        <v>27</v>
      </c>
      <c r="B2" s="2" t="s">
        <v>99</v>
      </c>
    </row>
    <row r="3" spans="1:3" x14ac:dyDescent="0.35">
      <c r="A3" s="1" t="s">
        <v>29</v>
      </c>
      <c r="B3">
        <v>4</v>
      </c>
    </row>
    <row r="5" spans="1:3" x14ac:dyDescent="0.35">
      <c r="A5" s="1" t="s">
        <v>30</v>
      </c>
      <c r="B5" s="1" t="s">
        <v>31</v>
      </c>
      <c r="C5" s="1" t="s">
        <v>32</v>
      </c>
    </row>
    <row r="6" spans="1:3" x14ac:dyDescent="0.35">
      <c r="A6" s="2" t="s">
        <v>100</v>
      </c>
      <c r="B6" t="s">
        <v>4</v>
      </c>
      <c r="C6" t="s">
        <v>34</v>
      </c>
    </row>
    <row r="7" spans="1:3" x14ac:dyDescent="0.35">
      <c r="A7" s="2" t="s">
        <v>101</v>
      </c>
      <c r="B7" t="s">
        <v>4</v>
      </c>
      <c r="C7" t="s">
        <v>34</v>
      </c>
    </row>
    <row r="8" spans="1:3" x14ac:dyDescent="0.35">
      <c r="A8" s="2" t="s">
        <v>102</v>
      </c>
      <c r="B8" t="s">
        <v>4</v>
      </c>
      <c r="C8" t="s">
        <v>34</v>
      </c>
    </row>
    <row r="9" spans="1:3" x14ac:dyDescent="0.35">
      <c r="A9" s="2" t="s">
        <v>103</v>
      </c>
      <c r="B9" t="s">
        <v>5</v>
      </c>
      <c r="C9" t="s">
        <v>34</v>
      </c>
    </row>
    <row r="10" spans="1:3" x14ac:dyDescent="0.35">
      <c r="A10" s="2" t="s">
        <v>104</v>
      </c>
      <c r="B10" t="s">
        <v>4</v>
      </c>
      <c r="C10" t="s">
        <v>34</v>
      </c>
    </row>
    <row r="11" spans="1:3" x14ac:dyDescent="0.35">
      <c r="A11" s="2" t="s">
        <v>105</v>
      </c>
      <c r="B11" t="s">
        <v>5</v>
      </c>
      <c r="C11" t="s">
        <v>34</v>
      </c>
    </row>
    <row r="12" spans="1:3" x14ac:dyDescent="0.35">
      <c r="A12" s="2" t="s">
        <v>106</v>
      </c>
      <c r="B12" t="s">
        <v>3</v>
      </c>
      <c r="C12" t="s">
        <v>34</v>
      </c>
    </row>
    <row r="13" spans="1:3" x14ac:dyDescent="0.35">
      <c r="A13" s="2" t="s">
        <v>107</v>
      </c>
      <c r="B13" t="s">
        <v>6</v>
      </c>
      <c r="C13" t="s">
        <v>34</v>
      </c>
    </row>
    <row r="15" spans="1:3" x14ac:dyDescent="0.35">
      <c r="A15" s="1" t="s">
        <v>44</v>
      </c>
    </row>
    <row r="16" spans="1:3" x14ac:dyDescent="0.35">
      <c r="A16" s="1" t="s">
        <v>45</v>
      </c>
      <c r="B16" s="1" t="s">
        <v>46</v>
      </c>
    </row>
    <row r="17" spans="1:2" x14ac:dyDescent="0.35">
      <c r="A17" t="s">
        <v>108</v>
      </c>
      <c r="B17" s="2" t="s">
        <v>109</v>
      </c>
    </row>
    <row r="18" spans="1:2" x14ac:dyDescent="0.35">
      <c r="A18" t="s">
        <v>110</v>
      </c>
      <c r="B18" s="2" t="s">
        <v>111</v>
      </c>
    </row>
    <row r="19" spans="1:2" x14ac:dyDescent="0.35">
      <c r="A19" t="s">
        <v>112</v>
      </c>
      <c r="B19" s="2" t="s">
        <v>113</v>
      </c>
    </row>
    <row r="20" spans="1:2" x14ac:dyDescent="0.35">
      <c r="A20" t="s">
        <v>114</v>
      </c>
      <c r="B20" s="2" t="s">
        <v>115</v>
      </c>
    </row>
    <row r="22" spans="1:2" ht="29" x14ac:dyDescent="0.35">
      <c r="A22" s="1" t="s">
        <v>55</v>
      </c>
      <c r="B22" s="2" t="s">
        <v>116</v>
      </c>
    </row>
    <row r="23" spans="1:2" x14ac:dyDescent="0.35">
      <c r="A23" s="1" t="s">
        <v>57</v>
      </c>
      <c r="B23">
        <v>4</v>
      </c>
    </row>
    <row r="24" spans="1:2" x14ac:dyDescent="0.35">
      <c r="A24" s="1" t="s">
        <v>58</v>
      </c>
      <c r="B24">
        <f>SUMPRODUCT(COUNTIF($B$6:$B$13,ResourceLoading!$A$3:$A$7),ResourceLoading!$B$3:$B$7)</f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ResourceLoading</vt:lpstr>
      <vt:lpstr>Inventory Management</vt:lpstr>
      <vt:lpstr>Recipe and Menu Management</vt:lpstr>
      <vt:lpstr>Order and Waste Tracking</vt:lpstr>
      <vt:lpstr>User and Role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 Pethe</cp:lastModifiedBy>
  <dcterms:created xsi:type="dcterms:W3CDTF">2025-12-04T07:03:53Z</dcterms:created>
  <dcterms:modified xsi:type="dcterms:W3CDTF">2025-12-04T07:13:46Z</dcterms:modified>
</cp:coreProperties>
</file>