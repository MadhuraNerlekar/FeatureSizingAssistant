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cubxpertstechno-my.sharepoint.com/personal/madhurap_incubxperts_com/Documents/Documents/IX/My own AI project/Feature sizing assistant/"/>
    </mc:Choice>
  </mc:AlternateContent>
  <xr:revisionPtr revIDLastSave="4" documentId="11_7688BFA5B98236F42CF33EB2B54DA6383F07ACDA" xr6:coauthVersionLast="47" xr6:coauthVersionMax="47" xr10:uidLastSave="{EF3B32D8-6E8C-4AFF-A54B-61CE5B3F6C99}"/>
  <bookViews>
    <workbookView xWindow="-110" yWindow="-110" windowWidth="19420" windowHeight="10300" activeTab="1" xr2:uid="{00000000-000D-0000-FFFF-FFFF00000000}"/>
  </bookViews>
  <sheets>
    <sheet name="ResourceLoading" sheetId="1" r:id="rId1"/>
    <sheet name="Real-time Sales Data Collection" sheetId="2" r:id="rId2"/>
    <sheet name="Demand Forecasting Engine" sheetId="3" r:id="rId3"/>
    <sheet name="Automated Replenishment Order G" sheetId="4" r:id="rId4"/>
    <sheet name="Alerts and Notifications" sheetId="5" r:id="rId5"/>
    <sheet name="Store Manager Dashboard" sheetId="6" r:id="rId6"/>
    <sheet name="Supplier Integr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7"/>
  <c r="B14" i="6"/>
  <c r="B14" i="5"/>
  <c r="B14" i="4"/>
  <c r="B15" i="3"/>
  <c r="B9" i="1" l="1"/>
  <c r="C17" i="1" s="1"/>
  <c r="B13" i="1" l="1"/>
  <c r="C21" i="1" s="1"/>
  <c r="B17" i="1"/>
  <c r="B10" i="1"/>
  <c r="B18" i="1" s="1"/>
  <c r="B11" i="1"/>
  <c r="B19" i="1" s="1"/>
  <c r="B12" i="1"/>
  <c r="C20" i="1" s="1"/>
  <c r="B21" i="1"/>
  <c r="C18" i="1" l="1"/>
  <c r="B20" i="1"/>
  <c r="C19" i="1"/>
</calcChain>
</file>

<file path=xl/sharedStrings.xml><?xml version="1.0" encoding="utf-8"?>
<sst xmlns="http://schemas.openxmlformats.org/spreadsheetml/2006/main" count="190" uniqueCount="105">
  <si>
    <t>T-shirt Sizing to Hours</t>
  </si>
  <si>
    <t>Size</t>
  </si>
  <si>
    <t>Hours</t>
  </si>
  <si>
    <t>XS</t>
  </si>
  <si>
    <t>S</t>
  </si>
  <si>
    <t>M</t>
  </si>
  <si>
    <t>L</t>
  </si>
  <si>
    <t>XL</t>
  </si>
  <si>
    <t>Total Development Hours</t>
  </si>
  <si>
    <t>QA Hours (40%)</t>
  </si>
  <si>
    <t>PM Hours (15%)</t>
  </si>
  <si>
    <t>Architect Hours (10%)</t>
  </si>
  <si>
    <t>Buffer (20%)</t>
  </si>
  <si>
    <t>Resource Utilization</t>
  </si>
  <si>
    <t>Role</t>
  </si>
  <si>
    <t>Resource Days (8h/day)</t>
  </si>
  <si>
    <t>Dev</t>
  </si>
  <si>
    <t>QA</t>
  </si>
  <si>
    <t>PM</t>
  </si>
  <si>
    <t>Architect</t>
  </si>
  <si>
    <t>Buffer</t>
  </si>
  <si>
    <t>Module Name</t>
  </si>
  <si>
    <t>Real-time Sales Data Collection</t>
  </si>
  <si>
    <t>Module Description</t>
  </si>
  <si>
    <t>Collect sales data from all retail store locations in real-time.</t>
  </si>
  <si>
    <t>Number of Screens</t>
  </si>
  <si>
    <t>Requirement</t>
  </si>
  <si>
    <t>Size (XS/S/M/L/XL)</t>
  </si>
  <si>
    <t>Notes</t>
  </si>
  <si>
    <t>Implement connectors to POS systems across stores</t>
  </si>
  <si>
    <t>Needs support for various POS vendors</t>
  </si>
  <si>
    <t>Real-time data ingestion pipeline</t>
  </si>
  <si>
    <t>Ensure minimal latency</t>
  </si>
  <si>
    <t>Error handling and retry logic for data feeds</t>
  </si>
  <si>
    <t>Robustness is key</t>
  </si>
  <si>
    <t>Data normalization and quality checks</t>
  </si>
  <si>
    <t>Consistent format required</t>
  </si>
  <si>
    <t>Scalability to handle large store chains</t>
  </si>
  <si>
    <t>Performance under load</t>
  </si>
  <si>
    <t>Secure data transmission and storage</t>
  </si>
  <si>
    <t>—</t>
  </si>
  <si>
    <t>Module Summary:</t>
  </si>
  <si>
    <t>Connect and synchronize data feeds from multiple stores into a central repository.</t>
  </si>
  <si>
    <t>Screens:</t>
  </si>
  <si>
    <t>Total Module Hours (calculated):</t>
  </si>
  <si>
    <t>Demand Forecasting Engine</t>
  </si>
  <si>
    <t>Analyze data and predict SKU-level inventory demand for coming periods.</t>
  </si>
  <si>
    <t>Develop algorithms for seasonality and trend analysis</t>
  </si>
  <si>
    <t>Advanced ML/stat models</t>
  </si>
  <si>
    <t>Incorporate promotional activity impact in forecasting</t>
  </si>
  <si>
    <t>Dynamic adjustments</t>
  </si>
  <si>
    <t>Generate forecasts for 30, 60, 90-day horizons</t>
  </si>
  <si>
    <t>Multiple forecast views</t>
  </si>
  <si>
    <t>SKU-level granularity support</t>
  </si>
  <si>
    <t>High dimensional data handling</t>
  </si>
  <si>
    <t>Model training and periodic retraining</t>
  </si>
  <si>
    <t>Automated model updates</t>
  </si>
  <si>
    <t>API to expose forecast data</t>
  </si>
  <si>
    <t>Leverage historical, promotional, seasonal, and pattern analysis for forecasting.</t>
  </si>
  <si>
    <t>Automated Replenishment Order Generation</t>
  </si>
  <si>
    <t>Generate purchase orders based on forecast and stock data.</t>
  </si>
  <si>
    <t>Compare forecasts with current inventory levels</t>
  </si>
  <si>
    <t>Accurate stock sync needed</t>
  </si>
  <si>
    <t>Generate replenishment quantities automatically</t>
  </si>
  <si>
    <t>Business rules applied</t>
  </si>
  <si>
    <t>Allow manual override by store managers</t>
  </si>
  <si>
    <t>User input integration</t>
  </si>
  <si>
    <t>Priority management for urgent reorder</t>
  </si>
  <si>
    <t>Stock-out risk mitigation</t>
  </si>
  <si>
    <t>Audit trail for replenishment order changes</t>
  </si>
  <si>
    <t>Create suggested replenishment actions minimizing stock-outs and overstocks.</t>
  </si>
  <si>
    <t>Alerts and Notifications</t>
  </si>
  <si>
    <t>Provide alerts for stock issues and unusual sales events.</t>
  </si>
  <si>
    <t>Detect potential stock-outs and overstock conditions</t>
  </si>
  <si>
    <t>Threshold based alerts</t>
  </si>
  <si>
    <t>Detect unusual sales spikes</t>
  </si>
  <si>
    <t>Anomaly detection algorithms</t>
  </si>
  <si>
    <t>Configure alert preferences per user/store</t>
  </si>
  <si>
    <t>Personalization</t>
  </si>
  <si>
    <t>Push alerts via dashboard and email</t>
  </si>
  <si>
    <t>Alert history and logging</t>
  </si>
  <si>
    <t>Notify users on critical inventory events to enable timely actions.</t>
  </si>
  <si>
    <t>Store Manager Dashboard</t>
  </si>
  <si>
    <t>Dashboard for review, approval, and modification of replenishment suggestions.</t>
  </si>
  <si>
    <t>Display forecast and replenishment recommendations</t>
  </si>
  <si>
    <t>Clear and intuitive UI</t>
  </si>
  <si>
    <t>Enable approve/modify/reject actions on suggested orders</t>
  </si>
  <si>
    <t>User workflow</t>
  </si>
  <si>
    <t>Visualization of inventory trends and alerts</t>
  </si>
  <si>
    <t>Graphs and key metrics</t>
  </si>
  <si>
    <t>User authentication and role-based access control</t>
  </si>
  <si>
    <t>Export reports for inventory and orders</t>
  </si>
  <si>
    <t>Provide an interactive UI for inventory decision-making and order management.</t>
  </si>
  <si>
    <t>Supplier Integration</t>
  </si>
  <si>
    <t>Interface with supplier systems for order sharing and status tracking.</t>
  </si>
  <si>
    <t>Support common supplier EDI/API protocols</t>
  </si>
  <si>
    <t>Multiple integration types</t>
  </si>
  <si>
    <t>Send purchase orders electronically</t>
  </si>
  <si>
    <t>Order generation and transmission</t>
  </si>
  <si>
    <t>Receive and process order acknowledgments</t>
  </si>
  <si>
    <t>Two-way sync</t>
  </si>
  <si>
    <t>Track dispatch and expected delivery dates</t>
  </si>
  <si>
    <t>Update inventory accordingly</t>
  </si>
  <si>
    <t>Error handling and retry for failed transmissions</t>
  </si>
  <si>
    <t>Automate communication with suppliers for purchase orders and delivery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</si>
</sst>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B9" sqref="B9"/>
    </sheetView>
  </sheetViews>
  <sheetFormatPr defaultRowHeight="14.5" x14ac:dyDescent="0.35"/>
  <cols>
    <col min="1" max="1" width="25" customWidth="1"/>
    <col min="2" max="2" width="60" customWidth="1"/>
    <col min="3" max="3" width="24" customWidth="1"/>
  </cols>
  <sheetData>
    <row r="1" spans="1:3" x14ac:dyDescent="0.35">
      <c r="A1" s="1" t="s">
        <v>0</v>
      </c>
    </row>
    <row r="2" spans="1:3" x14ac:dyDescent="0.35">
      <c r="A2" s="1" t="s">
        <v>1</v>
      </c>
      <c r="B2" s="1" t="s">
        <v>2</v>
      </c>
    </row>
    <row r="3" spans="1:3" x14ac:dyDescent="0.35">
      <c r="A3" t="s">
        <v>3</v>
      </c>
      <c r="B3">
        <v>1</v>
      </c>
    </row>
    <row r="4" spans="1:3" x14ac:dyDescent="0.35">
      <c r="A4" t="s">
        <v>4</v>
      </c>
      <c r="B4">
        <v>4</v>
      </c>
    </row>
    <row r="5" spans="1:3" x14ac:dyDescent="0.35">
      <c r="A5" t="s">
        <v>5</v>
      </c>
      <c r="B5">
        <v>8</v>
      </c>
    </row>
    <row r="6" spans="1:3" x14ac:dyDescent="0.35">
      <c r="A6" t="s">
        <v>6</v>
      </c>
      <c r="B6">
        <v>16</v>
      </c>
    </row>
    <row r="7" spans="1:3" x14ac:dyDescent="0.35">
      <c r="A7" t="s">
        <v>7</v>
      </c>
      <c r="B7">
        <v>32</v>
      </c>
    </row>
    <row r="9" spans="1:3" x14ac:dyDescent="0.35">
      <c r="A9" s="1" t="s">
        <v>8</v>
      </c>
      <c r="B9">
        <f>SUM('Real-time Sales Data Collection'!B15,'Demand Forecasting Engine'!B15,'Automated Replenishment Order G'!B14,'Alerts and Notifications'!B14,'Store Manager Dashboard'!B14,'Supplier Integration'!B14)</f>
        <v>260</v>
      </c>
    </row>
    <row r="10" spans="1:3" x14ac:dyDescent="0.35">
      <c r="A10" s="1" t="s">
        <v>9</v>
      </c>
      <c r="B10">
        <f>$B$9*0.4</f>
        <v>104</v>
      </c>
    </row>
    <row r="11" spans="1:3" x14ac:dyDescent="0.35">
      <c r="A11" s="1" t="s">
        <v>10</v>
      </c>
      <c r="B11">
        <f>$B$9*0.15</f>
        <v>39</v>
      </c>
    </row>
    <row r="12" spans="1:3" x14ac:dyDescent="0.35">
      <c r="A12" s="1" t="s">
        <v>11</v>
      </c>
      <c r="B12">
        <f>$B$9*0.1</f>
        <v>26</v>
      </c>
    </row>
    <row r="13" spans="1:3" x14ac:dyDescent="0.35">
      <c r="A13" s="1" t="s">
        <v>12</v>
      </c>
      <c r="B13">
        <f>$B$9*0.2</f>
        <v>52</v>
      </c>
    </row>
    <row r="15" spans="1:3" x14ac:dyDescent="0.35">
      <c r="A15" s="1" t="s">
        <v>13</v>
      </c>
    </row>
    <row r="16" spans="1:3" x14ac:dyDescent="0.35">
      <c r="A16" s="1" t="s">
        <v>14</v>
      </c>
      <c r="B16" s="1" t="s">
        <v>2</v>
      </c>
      <c r="C16" s="1" t="s">
        <v>15</v>
      </c>
    </row>
    <row r="17" spans="1:3" x14ac:dyDescent="0.35">
      <c r="A17" t="s">
        <v>16</v>
      </c>
      <c r="B17">
        <f>$B$9</f>
        <v>260</v>
      </c>
      <c r="C17">
        <f>$B$9/8</f>
        <v>32.5</v>
      </c>
    </row>
    <row r="18" spans="1:3" x14ac:dyDescent="0.35">
      <c r="A18" t="s">
        <v>17</v>
      </c>
      <c r="B18">
        <f>$B$10</f>
        <v>104</v>
      </c>
      <c r="C18">
        <f>$B$10/8</f>
        <v>13</v>
      </c>
    </row>
    <row r="19" spans="1:3" x14ac:dyDescent="0.35">
      <c r="A19" t="s">
        <v>18</v>
      </c>
      <c r="B19">
        <f>$B$11</f>
        <v>39</v>
      </c>
      <c r="C19">
        <f>$B$11/8</f>
        <v>4.875</v>
      </c>
    </row>
    <row r="20" spans="1:3" x14ac:dyDescent="0.35">
      <c r="A20" t="s">
        <v>19</v>
      </c>
      <c r="B20">
        <f>$B$12</f>
        <v>26</v>
      </c>
      <c r="C20">
        <f>$B$12/8</f>
        <v>3.25</v>
      </c>
    </row>
    <row r="21" spans="1:3" x14ac:dyDescent="0.35">
      <c r="A21" t="s">
        <v>20</v>
      </c>
      <c r="B21">
        <f>$B$13</f>
        <v>52</v>
      </c>
      <c r="C21">
        <f>$B$13/8</f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workbookViewId="0">
      <selection activeCell="B18" sqref="B18"/>
    </sheetView>
  </sheetViews>
  <sheetFormatPr defaultRowHeight="14.5" x14ac:dyDescent="0.35"/>
  <cols>
    <col min="1" max="1" width="51" customWidth="1"/>
    <col min="2" max="2" width="60" customWidth="1"/>
    <col min="3" max="3" width="39" customWidth="1"/>
  </cols>
  <sheetData>
    <row r="1" spans="1:3" x14ac:dyDescent="0.35">
      <c r="A1" s="1" t="s">
        <v>21</v>
      </c>
      <c r="B1" t="s">
        <v>22</v>
      </c>
    </row>
    <row r="2" spans="1:3" x14ac:dyDescent="0.35">
      <c r="A2" s="1" t="s">
        <v>23</v>
      </c>
      <c r="B2" s="2" t="s">
        <v>24</v>
      </c>
    </row>
    <row r="3" spans="1:3" x14ac:dyDescent="0.35">
      <c r="A3" s="1" t="s">
        <v>25</v>
      </c>
      <c r="B3">
        <v>1</v>
      </c>
    </row>
    <row r="5" spans="1:3" x14ac:dyDescent="0.35">
      <c r="A5" s="1" t="s">
        <v>26</v>
      </c>
      <c r="B5" s="1" t="s">
        <v>27</v>
      </c>
      <c r="C5" s="1" t="s">
        <v>28</v>
      </c>
    </row>
    <row r="6" spans="1:3" x14ac:dyDescent="0.35">
      <c r="A6" s="2" t="s">
        <v>29</v>
      </c>
      <c r="B6" t="s">
        <v>6</v>
      </c>
      <c r="C6" t="s">
        <v>30</v>
      </c>
    </row>
    <row r="7" spans="1:3" x14ac:dyDescent="0.35">
      <c r="A7" s="2" t="s">
        <v>31</v>
      </c>
      <c r="B7" t="s">
        <v>5</v>
      </c>
      <c r="C7" t="s">
        <v>32</v>
      </c>
    </row>
    <row r="8" spans="1:3" x14ac:dyDescent="0.35">
      <c r="A8" s="2" t="s">
        <v>33</v>
      </c>
      <c r="B8" t="s">
        <v>5</v>
      </c>
      <c r="C8" t="s">
        <v>34</v>
      </c>
    </row>
    <row r="9" spans="1:3" x14ac:dyDescent="0.35">
      <c r="A9" s="2" t="s">
        <v>35</v>
      </c>
      <c r="B9" t="s">
        <v>5</v>
      </c>
      <c r="C9" t="s">
        <v>36</v>
      </c>
    </row>
    <row r="10" spans="1:3" x14ac:dyDescent="0.35">
      <c r="A10" s="2" t="s">
        <v>37</v>
      </c>
      <c r="B10" t="s">
        <v>6</v>
      </c>
      <c r="C10" t="s">
        <v>38</v>
      </c>
    </row>
    <row r="11" spans="1:3" x14ac:dyDescent="0.35">
      <c r="A11" s="2" t="s">
        <v>39</v>
      </c>
      <c r="B11" t="s">
        <v>4</v>
      </c>
      <c r="C11" t="s">
        <v>40</v>
      </c>
    </row>
    <row r="13" spans="1:3" ht="29" x14ac:dyDescent="0.35">
      <c r="A13" s="1" t="s">
        <v>41</v>
      </c>
      <c r="B13" s="2" t="s">
        <v>42</v>
      </c>
    </row>
    <row r="14" spans="1:3" x14ac:dyDescent="0.35">
      <c r="A14" s="1" t="s">
        <v>43</v>
      </c>
      <c r="B14">
        <v>1</v>
      </c>
    </row>
    <row r="15" spans="1:3" x14ac:dyDescent="0.35">
      <c r="A15" s="1" t="s">
        <v>44</v>
      </c>
      <c r="B15">
        <f>COUNTIF($B$6:$B$11,"XS")*ResourceLoading!$B$3+COUNTIF($B$6:$B$11,"S")*ResourceLoading!$B$4+COUNTIF($B$6:$B$11,"M")*ResourceLoading!$B$5+COUNTIF($B$6:$B$11,"L")*ResourceLoading!$B$6+COUNTIF($B$6:$B$11,"XL")*ResourceLoading!$B$7</f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4.5" x14ac:dyDescent="0.35"/>
  <cols>
    <col min="1" max="1" width="56" customWidth="1"/>
    <col min="2" max="2" width="60" customWidth="1"/>
    <col min="3" max="3" width="32" customWidth="1"/>
  </cols>
  <sheetData>
    <row r="1" spans="1:3" x14ac:dyDescent="0.35">
      <c r="A1" s="1" t="s">
        <v>21</v>
      </c>
      <c r="B1" t="s">
        <v>45</v>
      </c>
    </row>
    <row r="2" spans="1:3" ht="29" x14ac:dyDescent="0.35">
      <c r="A2" s="1" t="s">
        <v>23</v>
      </c>
      <c r="B2" s="2" t="s">
        <v>46</v>
      </c>
    </row>
    <row r="3" spans="1:3" x14ac:dyDescent="0.35">
      <c r="A3" s="1" t="s">
        <v>25</v>
      </c>
      <c r="B3">
        <v>1</v>
      </c>
    </row>
    <row r="5" spans="1:3" x14ac:dyDescent="0.35">
      <c r="A5" s="1" t="s">
        <v>26</v>
      </c>
      <c r="B5" s="1" t="s">
        <v>27</v>
      </c>
      <c r="C5" s="1" t="s">
        <v>28</v>
      </c>
    </row>
    <row r="6" spans="1:3" x14ac:dyDescent="0.35">
      <c r="A6" s="2" t="s">
        <v>47</v>
      </c>
      <c r="B6" t="s">
        <v>6</v>
      </c>
      <c r="C6" t="s">
        <v>48</v>
      </c>
    </row>
    <row r="7" spans="1:3" x14ac:dyDescent="0.35">
      <c r="A7" s="2" t="s">
        <v>49</v>
      </c>
      <c r="B7" t="s">
        <v>5</v>
      </c>
      <c r="C7" t="s">
        <v>50</v>
      </c>
    </row>
    <row r="8" spans="1:3" x14ac:dyDescent="0.35">
      <c r="A8" s="2" t="s">
        <v>51</v>
      </c>
      <c r="B8" t="s">
        <v>5</v>
      </c>
      <c r="C8" t="s">
        <v>52</v>
      </c>
    </row>
    <row r="9" spans="1:3" x14ac:dyDescent="0.35">
      <c r="A9" s="2" t="s">
        <v>53</v>
      </c>
      <c r="B9" t="s">
        <v>5</v>
      </c>
      <c r="C9" t="s">
        <v>54</v>
      </c>
    </row>
    <row r="10" spans="1:3" x14ac:dyDescent="0.35">
      <c r="A10" s="2" t="s">
        <v>55</v>
      </c>
      <c r="B10" t="s">
        <v>6</v>
      </c>
      <c r="C10" t="s">
        <v>56</v>
      </c>
    </row>
    <row r="11" spans="1:3" x14ac:dyDescent="0.35">
      <c r="A11" s="2" t="s">
        <v>57</v>
      </c>
      <c r="B11" t="s">
        <v>4</v>
      </c>
      <c r="C11" t="s">
        <v>40</v>
      </c>
    </row>
    <row r="13" spans="1:3" ht="29" x14ac:dyDescent="0.35">
      <c r="A13" s="1" t="s">
        <v>41</v>
      </c>
      <c r="B13" s="2" t="s">
        <v>58</v>
      </c>
    </row>
    <row r="14" spans="1:3" x14ac:dyDescent="0.35">
      <c r="A14" s="1" t="s">
        <v>43</v>
      </c>
      <c r="B14">
        <v>1</v>
      </c>
    </row>
    <row r="15" spans="1:3" x14ac:dyDescent="0.35">
      <c r="A15" s="1" t="s">
        <v>44</v>
      </c>
      <c r="B15">
        <f>COUNTIF($B$6:$B$11,"XS")*ResourceLoading!$B$3+COUNTIF($B$6:$B$11,"S")*ResourceLoading!$B$4+COUNTIF($B$6:$B$11,"M")*ResourceLoading!$B$5+COUNTIF($B$6:$B$11,"L")*ResourceLoading!$B$6+COUNTIF($B$6:$B$11,"XL")*ResourceLoading!$B$7</f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4.5" x14ac:dyDescent="0.35"/>
  <cols>
    <col min="1" max="1" width="49" customWidth="1"/>
    <col min="2" max="2" width="60" customWidth="1"/>
    <col min="3" max="3" width="28" customWidth="1"/>
  </cols>
  <sheetData>
    <row r="1" spans="1:3" x14ac:dyDescent="0.35">
      <c r="A1" s="1" t="s">
        <v>21</v>
      </c>
      <c r="B1" t="s">
        <v>59</v>
      </c>
    </row>
    <row r="2" spans="1:3" x14ac:dyDescent="0.35">
      <c r="A2" s="1" t="s">
        <v>23</v>
      </c>
      <c r="B2" s="2" t="s">
        <v>60</v>
      </c>
    </row>
    <row r="3" spans="1:3" x14ac:dyDescent="0.35">
      <c r="A3" s="1" t="s">
        <v>25</v>
      </c>
      <c r="B3">
        <v>1</v>
      </c>
    </row>
    <row r="5" spans="1:3" x14ac:dyDescent="0.35">
      <c r="A5" s="1" t="s">
        <v>26</v>
      </c>
      <c r="B5" s="1" t="s">
        <v>27</v>
      </c>
      <c r="C5" s="1" t="s">
        <v>28</v>
      </c>
    </row>
    <row r="6" spans="1:3" x14ac:dyDescent="0.35">
      <c r="A6" s="2" t="s">
        <v>61</v>
      </c>
      <c r="B6" t="s">
        <v>5</v>
      </c>
      <c r="C6" t="s">
        <v>62</v>
      </c>
    </row>
    <row r="7" spans="1:3" x14ac:dyDescent="0.35">
      <c r="A7" s="2" t="s">
        <v>63</v>
      </c>
      <c r="B7" t="s">
        <v>5</v>
      </c>
      <c r="C7" t="s">
        <v>64</v>
      </c>
    </row>
    <row r="8" spans="1:3" x14ac:dyDescent="0.35">
      <c r="A8" s="2" t="s">
        <v>65</v>
      </c>
      <c r="B8" t="s">
        <v>4</v>
      </c>
      <c r="C8" t="s">
        <v>66</v>
      </c>
    </row>
    <row r="9" spans="1:3" x14ac:dyDescent="0.35">
      <c r="A9" s="2" t="s">
        <v>67</v>
      </c>
      <c r="B9" t="s">
        <v>5</v>
      </c>
      <c r="C9" t="s">
        <v>68</v>
      </c>
    </row>
    <row r="10" spans="1:3" x14ac:dyDescent="0.35">
      <c r="A10" s="2" t="s">
        <v>69</v>
      </c>
      <c r="B10" t="s">
        <v>4</v>
      </c>
      <c r="C10" t="s">
        <v>40</v>
      </c>
    </row>
    <row r="12" spans="1:3" ht="29" x14ac:dyDescent="0.35">
      <c r="A12" s="1" t="s">
        <v>41</v>
      </c>
      <c r="B12" s="2" t="s">
        <v>70</v>
      </c>
    </row>
    <row r="13" spans="1:3" x14ac:dyDescent="0.35">
      <c r="A13" s="1" t="s">
        <v>43</v>
      </c>
      <c r="B13">
        <v>1</v>
      </c>
    </row>
    <row r="14" spans="1:3" x14ac:dyDescent="0.35">
      <c r="A14" s="1" t="s">
        <v>44</v>
      </c>
      <c r="B14">
        <f>COUNTIF($B$6:$B$10,"XS")*ResourceLoading!$B$3+COUNTIF($B$6:$B$10,"S")*ResourceLoading!$B$4+COUNTIF($B$6:$B$10,"M")*ResourceLoading!$B$5+COUNTIF($B$6:$B$10,"L")*ResourceLoading!$B$6+COUNTIF($B$6:$B$10,"XL")*ResourceLoading!$B$7</f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4.5" x14ac:dyDescent="0.35"/>
  <cols>
    <col min="1" max="1" width="54" customWidth="1"/>
    <col min="2" max="2" width="60" customWidth="1"/>
    <col min="3" max="3" width="30" customWidth="1"/>
  </cols>
  <sheetData>
    <row r="1" spans="1:3" x14ac:dyDescent="0.35">
      <c r="A1" s="1" t="s">
        <v>21</v>
      </c>
      <c r="B1" t="s">
        <v>71</v>
      </c>
    </row>
    <row r="2" spans="1:3" x14ac:dyDescent="0.35">
      <c r="A2" s="1" t="s">
        <v>23</v>
      </c>
      <c r="B2" s="2" t="s">
        <v>72</v>
      </c>
    </row>
    <row r="3" spans="1:3" x14ac:dyDescent="0.35">
      <c r="A3" s="1" t="s">
        <v>25</v>
      </c>
      <c r="B3">
        <v>2</v>
      </c>
    </row>
    <row r="5" spans="1:3" x14ac:dyDescent="0.35">
      <c r="A5" s="1" t="s">
        <v>26</v>
      </c>
      <c r="B5" s="1" t="s">
        <v>27</v>
      </c>
      <c r="C5" s="1" t="s">
        <v>28</v>
      </c>
    </row>
    <row r="6" spans="1:3" x14ac:dyDescent="0.35">
      <c r="A6" s="2" t="s">
        <v>73</v>
      </c>
      <c r="B6" t="s">
        <v>5</v>
      </c>
      <c r="C6" t="s">
        <v>74</v>
      </c>
    </row>
    <row r="7" spans="1:3" x14ac:dyDescent="0.35">
      <c r="A7" s="2" t="s">
        <v>75</v>
      </c>
      <c r="B7" t="s">
        <v>5</v>
      </c>
      <c r="C7" t="s">
        <v>76</v>
      </c>
    </row>
    <row r="8" spans="1:3" x14ac:dyDescent="0.35">
      <c r="A8" s="2" t="s">
        <v>77</v>
      </c>
      <c r="B8" t="s">
        <v>4</v>
      </c>
      <c r="C8" t="s">
        <v>78</v>
      </c>
    </row>
    <row r="9" spans="1:3" x14ac:dyDescent="0.35">
      <c r="A9" s="2" t="s">
        <v>79</v>
      </c>
      <c r="B9" t="s">
        <v>4</v>
      </c>
      <c r="C9" t="s">
        <v>40</v>
      </c>
    </row>
    <row r="10" spans="1:3" x14ac:dyDescent="0.35">
      <c r="A10" s="2" t="s">
        <v>80</v>
      </c>
      <c r="B10" t="s">
        <v>4</v>
      </c>
      <c r="C10" t="s">
        <v>40</v>
      </c>
    </row>
    <row r="12" spans="1:3" x14ac:dyDescent="0.35">
      <c r="A12" s="1" t="s">
        <v>41</v>
      </c>
      <c r="B12" s="2" t="s">
        <v>81</v>
      </c>
    </row>
    <row r="13" spans="1:3" x14ac:dyDescent="0.35">
      <c r="A13" s="1" t="s">
        <v>43</v>
      </c>
      <c r="B13">
        <v>2</v>
      </c>
    </row>
    <row r="14" spans="1:3" x14ac:dyDescent="0.35">
      <c r="A14" s="1" t="s">
        <v>44</v>
      </c>
      <c r="B14">
        <f>COUNTIF($B$6:$B$10,"XS")*ResourceLoading!$B$3+COUNTIF($B$6:$B$10,"S")*ResourceLoading!$B$4+COUNTIF($B$6:$B$10,"M")*ResourceLoading!$B$5+COUNTIF($B$6:$B$10,"L")*ResourceLoading!$B$6+COUNTIF($B$6:$B$10,"XL")*ResourceLoading!$B$7</f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5" x14ac:dyDescent="0.35"/>
  <cols>
    <col min="1" max="1" width="58" customWidth="1"/>
    <col min="2" max="2" width="60" customWidth="1"/>
    <col min="3" max="3" width="24" customWidth="1"/>
  </cols>
  <sheetData>
    <row r="1" spans="1:3" x14ac:dyDescent="0.35">
      <c r="A1" s="1" t="s">
        <v>21</v>
      </c>
      <c r="B1" t="s">
        <v>82</v>
      </c>
    </row>
    <row r="2" spans="1:3" ht="29" x14ac:dyDescent="0.35">
      <c r="A2" s="1" t="s">
        <v>23</v>
      </c>
      <c r="B2" s="2" t="s">
        <v>83</v>
      </c>
    </row>
    <row r="3" spans="1:3" x14ac:dyDescent="0.35">
      <c r="A3" s="1" t="s">
        <v>25</v>
      </c>
      <c r="B3">
        <v>3</v>
      </c>
    </row>
    <row r="5" spans="1:3" x14ac:dyDescent="0.35">
      <c r="A5" s="1" t="s">
        <v>26</v>
      </c>
      <c r="B5" s="1" t="s">
        <v>27</v>
      </c>
      <c r="C5" s="1" t="s">
        <v>28</v>
      </c>
    </row>
    <row r="6" spans="1:3" x14ac:dyDescent="0.35">
      <c r="A6" s="2" t="s">
        <v>84</v>
      </c>
      <c r="B6" t="s">
        <v>5</v>
      </c>
      <c r="C6" t="s">
        <v>85</v>
      </c>
    </row>
    <row r="7" spans="1:3" x14ac:dyDescent="0.35">
      <c r="A7" s="2" t="s">
        <v>86</v>
      </c>
      <c r="B7" t="s">
        <v>5</v>
      </c>
      <c r="C7" t="s">
        <v>87</v>
      </c>
    </row>
    <row r="8" spans="1:3" x14ac:dyDescent="0.35">
      <c r="A8" s="2" t="s">
        <v>88</v>
      </c>
      <c r="B8" t="s">
        <v>5</v>
      </c>
      <c r="C8" t="s">
        <v>89</v>
      </c>
    </row>
    <row r="9" spans="1:3" x14ac:dyDescent="0.35">
      <c r="A9" s="2" t="s">
        <v>90</v>
      </c>
      <c r="B9" t="s">
        <v>4</v>
      </c>
      <c r="C9" t="s">
        <v>40</v>
      </c>
    </row>
    <row r="10" spans="1:3" x14ac:dyDescent="0.35">
      <c r="A10" s="2" t="s">
        <v>91</v>
      </c>
      <c r="B10" t="s">
        <v>4</v>
      </c>
      <c r="C10" t="s">
        <v>40</v>
      </c>
    </row>
    <row r="12" spans="1:3" ht="29" x14ac:dyDescent="0.35">
      <c r="A12" s="1" t="s">
        <v>41</v>
      </c>
      <c r="B12" s="2" t="s">
        <v>92</v>
      </c>
    </row>
    <row r="13" spans="1:3" x14ac:dyDescent="0.35">
      <c r="A13" s="1" t="s">
        <v>43</v>
      </c>
      <c r="B13">
        <v>3</v>
      </c>
    </row>
    <row r="14" spans="1:3" x14ac:dyDescent="0.35">
      <c r="A14" s="1" t="s">
        <v>44</v>
      </c>
      <c r="B14">
        <f>COUNTIF($B$6:$B$10,"XS")*ResourceLoading!$B$3+COUNTIF($B$6:$B$10,"S")*ResourceLoading!$B$4+COUNTIF($B$6:$B$10,"M")*ResourceLoading!$B$5+COUNTIF($B$6:$B$10,"L")*ResourceLoading!$B$6+COUNTIF($B$6:$B$10,"XL")*ResourceLoading!$B$7</f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4.5" x14ac:dyDescent="0.35"/>
  <cols>
    <col min="1" max="1" width="51" customWidth="1"/>
    <col min="2" max="2" width="60" customWidth="1"/>
    <col min="3" max="3" width="35" customWidth="1"/>
  </cols>
  <sheetData>
    <row r="1" spans="1:3" x14ac:dyDescent="0.35">
      <c r="A1" s="1" t="s">
        <v>21</v>
      </c>
      <c r="B1" t="s">
        <v>93</v>
      </c>
    </row>
    <row r="2" spans="1:3" x14ac:dyDescent="0.35">
      <c r="A2" s="1" t="s">
        <v>23</v>
      </c>
      <c r="B2" s="2" t="s">
        <v>94</v>
      </c>
    </row>
    <row r="3" spans="1:3" x14ac:dyDescent="0.35">
      <c r="A3" s="1" t="s">
        <v>25</v>
      </c>
      <c r="B3">
        <v>1</v>
      </c>
    </row>
    <row r="5" spans="1:3" x14ac:dyDescent="0.35">
      <c r="A5" s="1" t="s">
        <v>26</v>
      </c>
      <c r="B5" s="1" t="s">
        <v>27</v>
      </c>
      <c r="C5" s="1" t="s">
        <v>28</v>
      </c>
    </row>
    <row r="6" spans="1:3" x14ac:dyDescent="0.35">
      <c r="A6" s="2" t="s">
        <v>95</v>
      </c>
      <c r="B6" t="s">
        <v>6</v>
      </c>
      <c r="C6" t="s">
        <v>96</v>
      </c>
    </row>
    <row r="7" spans="1:3" x14ac:dyDescent="0.35">
      <c r="A7" s="2" t="s">
        <v>97</v>
      </c>
      <c r="B7" t="s">
        <v>5</v>
      </c>
      <c r="C7" t="s">
        <v>98</v>
      </c>
    </row>
    <row r="8" spans="1:3" x14ac:dyDescent="0.35">
      <c r="A8" s="2" t="s">
        <v>99</v>
      </c>
      <c r="B8" t="s">
        <v>5</v>
      </c>
      <c r="C8" t="s">
        <v>100</v>
      </c>
    </row>
    <row r="9" spans="1:3" x14ac:dyDescent="0.35">
      <c r="A9" s="2" t="s">
        <v>101</v>
      </c>
      <c r="B9" t="s">
        <v>5</v>
      </c>
      <c r="C9" t="s">
        <v>102</v>
      </c>
    </row>
    <row r="10" spans="1:3" x14ac:dyDescent="0.35">
      <c r="A10" s="2" t="s">
        <v>103</v>
      </c>
      <c r="B10" t="s">
        <v>5</v>
      </c>
      <c r="C10" t="s">
        <v>40</v>
      </c>
    </row>
    <row r="12" spans="1:3" ht="29" x14ac:dyDescent="0.35">
      <c r="A12" s="1" t="s">
        <v>41</v>
      </c>
      <c r="B12" s="2" t="s">
        <v>104</v>
      </c>
    </row>
    <row r="13" spans="1:3" x14ac:dyDescent="0.35">
      <c r="A13" s="1" t="s">
        <v>43</v>
      </c>
      <c r="B13">
        <v>1</v>
      </c>
    </row>
    <row r="14" spans="1:3" x14ac:dyDescent="0.35">
      <c r="A14" s="1" t="s">
        <v>44</v>
      </c>
      <c r="B14">
        <f>COUNTIF($B$6:$B$10,"XS")*ResourceLoading!$B$3+COUNTIF($B$6:$B$10,"S")*ResourceLoading!$B$4+COUNTIF($B$6:$B$10,"M")*ResourceLoading!$B$5+COUNTIF($B$6:$B$10,"L")*ResourceLoading!$B$6+COUNTIF($B$6:$B$10,"XL")*ResourceLoading!$B$7</f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ResourceLoading</vt:lpstr>
      <vt:lpstr>Real-time Sales Data Collection</vt:lpstr>
      <vt:lpstr>Demand Forecasting Engine</vt:lpstr>
      <vt:lpstr>Automated Replenishment Order G</vt:lpstr>
      <vt:lpstr>Alerts and Notifications</vt:lpstr>
      <vt:lpstr>Store Manager Dashboard</vt:lpstr>
      <vt:lpstr>Supplier 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 Pethe</cp:lastModifiedBy>
  <dcterms:created xsi:type="dcterms:W3CDTF">2025-12-01T10:17:18Z</dcterms:created>
  <dcterms:modified xsi:type="dcterms:W3CDTF">2025-12-01T10:31:11Z</dcterms:modified>
</cp:coreProperties>
</file>